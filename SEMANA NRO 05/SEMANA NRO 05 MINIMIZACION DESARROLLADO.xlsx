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A\REGULAR\00 2021 - 1\CLASES\SEMANA NRO 05\"/>
    </mc:Choice>
  </mc:AlternateContent>
  <xr:revisionPtr revIDLastSave="0" documentId="13_ncr:1_{F8496C71-C8D3-42D7-B980-EAA0B9BA16EA}" xr6:coauthVersionLast="46" xr6:coauthVersionMax="46" xr10:uidLastSave="{00000000-0000-0000-0000-000000000000}"/>
  <bookViews>
    <workbookView xWindow="10" yWindow="40" windowWidth="14800" windowHeight="10140" tabRatio="706" xr2:uid="{00000000-000D-0000-FFFF-FFFF00000000}"/>
  </bookViews>
  <sheets>
    <sheet name="EJEMPLO 01" sheetId="4" r:id="rId1"/>
    <sheet name="EJEMPLO 0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" i="4" l="1"/>
  <c r="L16" i="4"/>
  <c r="L15" i="4"/>
  <c r="K61" i="4"/>
  <c r="E61" i="4"/>
  <c r="F61" i="4"/>
  <c r="G61" i="4"/>
  <c r="H61" i="4"/>
  <c r="I61" i="4"/>
  <c r="J61" i="4"/>
  <c r="D61" i="4"/>
  <c r="K59" i="4"/>
  <c r="E59" i="4"/>
  <c r="F59" i="4"/>
  <c r="G59" i="4"/>
  <c r="H59" i="4"/>
  <c r="I59" i="4"/>
  <c r="J59" i="4"/>
  <c r="D59" i="4"/>
  <c r="K58" i="4"/>
  <c r="E58" i="4"/>
  <c r="F58" i="4"/>
  <c r="G58" i="4"/>
  <c r="H58" i="4"/>
  <c r="I58" i="4"/>
  <c r="J58" i="4"/>
  <c r="D58" i="4"/>
  <c r="K60" i="4"/>
  <c r="H60" i="4"/>
  <c r="I60" i="4"/>
  <c r="J60" i="4"/>
  <c r="E60" i="4"/>
  <c r="F60" i="4"/>
  <c r="G60" i="4"/>
  <c r="D60" i="4"/>
  <c r="M48" i="4"/>
  <c r="M47" i="4"/>
  <c r="K48" i="4"/>
  <c r="F48" i="4"/>
  <c r="G48" i="4"/>
  <c r="H48" i="4"/>
  <c r="I48" i="4"/>
  <c r="J48" i="4"/>
  <c r="E48" i="4"/>
  <c r="D48" i="4"/>
  <c r="K46" i="4"/>
  <c r="F46" i="4"/>
  <c r="G46" i="4"/>
  <c r="H46" i="4"/>
  <c r="I46" i="4"/>
  <c r="J46" i="4"/>
  <c r="E46" i="4"/>
  <c r="D46" i="4"/>
  <c r="K47" i="4"/>
  <c r="J47" i="4"/>
  <c r="I47" i="4"/>
  <c r="H47" i="4"/>
  <c r="G47" i="4"/>
  <c r="F47" i="4"/>
  <c r="E47" i="4"/>
  <c r="D47" i="4"/>
  <c r="M37" i="4"/>
  <c r="M36" i="4"/>
  <c r="M35" i="4"/>
  <c r="K37" i="4"/>
  <c r="J37" i="4"/>
  <c r="I37" i="4"/>
  <c r="H37" i="4"/>
  <c r="G37" i="4"/>
  <c r="F37" i="4"/>
  <c r="E37" i="4"/>
  <c r="D37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L26" i="4"/>
  <c r="L25" i="4"/>
  <c r="L24" i="4"/>
</calcChain>
</file>

<file path=xl/sharedStrings.xml><?xml version="1.0" encoding="utf-8"?>
<sst xmlns="http://schemas.openxmlformats.org/spreadsheetml/2006/main" count="260" uniqueCount="109">
  <si>
    <t>Variables:</t>
  </si>
  <si>
    <t>Modelo Matemático</t>
  </si>
  <si>
    <t>1ra Tabla Simplex</t>
  </si>
  <si>
    <t>C</t>
  </si>
  <si>
    <t>VB</t>
  </si>
  <si>
    <t>LD</t>
  </si>
  <si>
    <t>Z</t>
  </si>
  <si>
    <t>C - Z</t>
  </si>
  <si>
    <t>EJEMPLO NRO 01</t>
  </si>
  <si>
    <t>2da Tabla Simplex</t>
  </si>
  <si>
    <t>3ra Tabla Simplex</t>
  </si>
  <si>
    <t>EJEMPLO NRO 02</t>
  </si>
  <si>
    <t>x</t>
  </si>
  <si>
    <t>y</t>
  </si>
  <si>
    <t>S.A:</t>
  </si>
  <si>
    <r>
      <t xml:space="preserve">X; Y </t>
    </r>
    <r>
      <rPr>
        <sz val="11"/>
        <color theme="1"/>
        <rFont val="Calibri"/>
        <family val="2"/>
      </rPr>
      <t>≥ 0</t>
    </r>
  </si>
  <si>
    <t>Modelo Estándar</t>
  </si>
  <si>
    <t>Menor</t>
  </si>
  <si>
    <t>Min Z = 2X + 3Y</t>
  </si>
  <si>
    <r>
      <t xml:space="preserve">3X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48</t>
    </r>
  </si>
  <si>
    <r>
      <t xml:space="preserve">Max (-Z) = -2X - 3Y </t>
    </r>
    <r>
      <rPr>
        <sz val="11"/>
        <color rgb="FFFF0000"/>
        <rFont val="Calibri"/>
        <family val="2"/>
        <scheme val="minor"/>
      </rPr>
      <t>-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3</t>
    </r>
  </si>
  <si>
    <r>
      <t xml:space="preserve">3X + 1Y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48</t>
    </r>
  </si>
  <si>
    <r>
      <t xml:space="preserve">1X + 3Y </t>
    </r>
    <r>
      <rPr>
        <sz val="11"/>
        <color theme="1"/>
        <rFont val="Calibri"/>
        <family val="2"/>
      </rPr>
      <t>≥ 42</t>
    </r>
  </si>
  <si>
    <r>
      <t xml:space="preserve">1X + 3Y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42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</si>
  <si>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32</t>
    </r>
  </si>
  <si>
    <t>1X + 1Y = 32</t>
  </si>
  <si>
    <t>Se desea contratar un equipo de 32 personas entre hombres y mujeres. Cada hombre puede transportar 3 maletas llenas de mercadería, mientras que cada mujer solo 1, pero cada mujer puede vender 3 maletas de mercadería mientras que cada hombre solo una. Se requiere transportar por lo menos 48 maletas y vender por lo menos 42. A cada hombre se le paga 2 dólares por hora mientras que a cada mujer 3 dólares. La empresa desea realizar la contratación que le resulte más económica.</t>
  </si>
  <si>
    <t>Nro de hombres</t>
  </si>
  <si>
    <t>Nro de mujeres</t>
  </si>
  <si>
    <t>TRANSPORTE</t>
  </si>
  <si>
    <t>VENTA</t>
  </si>
  <si>
    <t>NRO TRABAJADORES</t>
  </si>
  <si>
    <r>
      <t>Min Z = 2X + 3Y +</t>
    </r>
    <r>
      <rPr>
        <sz val="11"/>
        <color rgb="FFFF0000"/>
        <rFont val="Calibri"/>
        <family val="2"/>
        <scheme val="minor"/>
      </rPr>
      <t xml:space="preserve">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3</t>
    </r>
  </si>
  <si>
    <t>4ta Tabla Simplex</t>
  </si>
  <si>
    <t>Un frutero necesita 16 cajas de naranjas, 5 de plátanos y 20 de manzanas. Dos mayoristas pueden suministrarle para satisfacer sus necesidades, pero sólo venden la fruta en contenedores completos. El mayorista A envía en cada contenedor 8 cajas de naranjas, 1 de plátanos y 2 de manzanas. El mayorista B envía en cada contenedor 2 cajas de naranjas, una de plátanos y 7 de manzanas. Sabiendo que el mayorista A vende cada contenedor en 20 soles y el mayorista B a 25 soles, calcular cuántos contenedores habrá de comprar a cada mayorista.</t>
  </si>
  <si>
    <t>Nro de Contenedores A</t>
  </si>
  <si>
    <t>Nro de Contenedores B</t>
  </si>
  <si>
    <t>Min Z = 20X + 25Y</t>
  </si>
  <si>
    <r>
      <t xml:space="preserve">8X + 2Y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16</t>
    </r>
  </si>
  <si>
    <r>
      <t xml:space="preserve">1X + 1Y </t>
    </r>
    <r>
      <rPr>
        <sz val="11"/>
        <color theme="1"/>
        <rFont val="Calibri"/>
        <family val="2"/>
      </rPr>
      <t>≥ 5</t>
    </r>
  </si>
  <si>
    <t>2X + 7Y ≥ 20</t>
  </si>
  <si>
    <r>
      <t>Min Z = 2X + 3Y +</t>
    </r>
    <r>
      <rPr>
        <sz val="11"/>
        <color rgb="FFFF0000"/>
        <rFont val="Calibri"/>
        <family val="2"/>
        <scheme val="minor"/>
      </rPr>
      <t xml:space="preserve">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+ 0e</t>
    </r>
    <r>
      <rPr>
        <vertAlign val="subscript"/>
        <sz val="11"/>
        <color rgb="FFFF0000"/>
        <rFont val="Calibri"/>
        <family val="2"/>
        <scheme val="minor"/>
      </rPr>
      <t>3</t>
    </r>
  </si>
  <si>
    <r>
      <t xml:space="preserve">8X + 2Y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16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</si>
  <si>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5</t>
    </r>
  </si>
  <si>
    <r>
      <t xml:space="preserve">2X + 7Y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20</t>
    </r>
  </si>
  <si>
    <r>
      <t xml:space="preserve">X; Y; </t>
    </r>
    <r>
      <rPr>
        <sz val="11"/>
        <color rgb="FFFF0000"/>
        <rFont val="Calibri"/>
        <family val="2"/>
        <scheme val="minor"/>
      </rPr>
      <t>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≥ 0</t>
    </r>
  </si>
  <si>
    <t>NARANJAS</t>
  </si>
  <si>
    <t>PLÁTANOS</t>
  </si>
  <si>
    <t>MANZANAS</t>
  </si>
  <si>
    <r>
      <t xml:space="preserve">Max (-Z) = -2X - 3Y </t>
    </r>
    <r>
      <rPr>
        <sz val="11"/>
        <color rgb="FFFF0000"/>
        <rFont val="Calibri"/>
        <family val="2"/>
        <scheme val="minor"/>
      </rPr>
      <t>-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3</t>
    </r>
  </si>
  <si>
    <t>X</t>
  </si>
  <si>
    <t>Y</t>
  </si>
  <si>
    <t>A1</t>
  </si>
  <si>
    <t>e1</t>
  </si>
  <si>
    <t>A2</t>
  </si>
  <si>
    <t>e2</t>
  </si>
  <si>
    <t>A3</t>
  </si>
  <si>
    <t>-2</t>
  </si>
  <si>
    <t>-3</t>
  </si>
  <si>
    <t>-M</t>
  </si>
  <si>
    <t>0</t>
  </si>
  <si>
    <t>-5M</t>
  </si>
  <si>
    <t>M</t>
  </si>
  <si>
    <t>-122M</t>
  </si>
  <si>
    <t>5M-2</t>
  </si>
  <si>
    <t>5M-3</t>
  </si>
  <si>
    <t>Entra "X"</t>
  </si>
  <si>
    <t>Sale "A1"</t>
  </si>
  <si>
    <t>Operación</t>
  </si>
  <si>
    <t>-42M-32</t>
  </si>
  <si>
    <t>Entra "Y"</t>
  </si>
  <si>
    <t>Sale "A2"</t>
  </si>
  <si>
    <t>0.25M-0.375</t>
  </si>
  <si>
    <t>-0.25M+0.375</t>
  </si>
  <si>
    <t>0.25M-0.875</t>
  </si>
  <si>
    <t>-0.25M+0.875</t>
  </si>
  <si>
    <t>-1.25M+0.375</t>
  </si>
  <si>
    <t>-1.25M+0.875</t>
  </si>
  <si>
    <t>Entra "e1"</t>
  </si>
  <si>
    <t>Sale "A3"</t>
  </si>
  <si>
    <t>-M+1.5</t>
  </si>
  <si>
    <t>X = 27</t>
  </si>
  <si>
    <t>Y = 5</t>
  </si>
  <si>
    <t>Z = 69</t>
  </si>
  <si>
    <t>-3.33M-0.66</t>
  </si>
  <si>
    <t>0.66M-0.66</t>
  </si>
  <si>
    <t>-0.66M+0.66</t>
  </si>
  <si>
    <t>3.33M-2.33</t>
  </si>
  <si>
    <t>-1.66M+0.66</t>
  </si>
  <si>
    <t>NF2 = F2 (3/8)</t>
  </si>
  <si>
    <r>
      <t xml:space="preserve">NF1 = F1 </t>
    </r>
    <r>
      <rPr>
        <sz val="11"/>
        <color rgb="FFFF0000"/>
        <rFont val="Calibri"/>
        <family val="2"/>
        <scheme val="minor"/>
      </rPr>
      <t>- (1/3)</t>
    </r>
    <r>
      <rPr>
        <sz val="11"/>
        <rFont val="Calibri"/>
        <family val="2"/>
        <scheme val="minor"/>
      </rPr>
      <t>.NF2</t>
    </r>
  </si>
  <si>
    <t>NF3 = F3 (4)</t>
  </si>
  <si>
    <t xml:space="preserve">Variables </t>
  </si>
  <si>
    <t>Básicas</t>
  </si>
  <si>
    <t>e1 = 38</t>
  </si>
  <si>
    <t>No Básicas</t>
  </si>
  <si>
    <t>-Z = -69</t>
  </si>
  <si>
    <t>NF1 = F1/3</t>
  </si>
  <si>
    <r>
      <t>NF2 = F2</t>
    </r>
    <r>
      <rPr>
        <sz val="11"/>
        <color rgb="FFFF0000"/>
        <rFont val="Calibri"/>
        <family val="2"/>
        <scheme val="minor"/>
      </rPr>
      <t xml:space="preserve"> - 1</t>
    </r>
    <r>
      <rPr>
        <sz val="11"/>
        <rFont val="Calibri"/>
        <family val="2"/>
        <scheme val="minor"/>
      </rPr>
      <t>.NF1</t>
    </r>
  </si>
  <si>
    <r>
      <t xml:space="preserve">NF3 = F3 </t>
    </r>
    <r>
      <rPr>
        <sz val="11"/>
        <color rgb="FFFF0000"/>
        <rFont val="Calibri"/>
        <family val="2"/>
        <scheme val="minor"/>
      </rPr>
      <t>- 1</t>
    </r>
    <r>
      <rPr>
        <sz val="11"/>
        <rFont val="Calibri"/>
        <family val="2"/>
        <scheme val="minor"/>
      </rPr>
      <t>.NF1</t>
    </r>
  </si>
  <si>
    <r>
      <t xml:space="preserve">NF3 = F3 </t>
    </r>
    <r>
      <rPr>
        <sz val="11"/>
        <color rgb="FFFF0000"/>
        <rFont val="Calibri"/>
        <family val="2"/>
        <scheme val="minor"/>
      </rPr>
      <t>- (2/3)</t>
    </r>
    <r>
      <rPr>
        <sz val="11"/>
        <rFont val="Calibri"/>
        <family val="2"/>
        <scheme val="minor"/>
      </rPr>
      <t>.NF2</t>
    </r>
  </si>
  <si>
    <t>-9.5M-54.75</t>
  </si>
  <si>
    <t>no considerar</t>
  </si>
  <si>
    <r>
      <t xml:space="preserve">NF1 = F1 </t>
    </r>
    <r>
      <rPr>
        <sz val="11"/>
        <color rgb="FFFF0000"/>
        <rFont val="Calibri"/>
        <family val="2"/>
        <scheme val="minor"/>
      </rPr>
      <t>+ 0.375</t>
    </r>
    <r>
      <rPr>
        <sz val="11"/>
        <color theme="1"/>
        <rFont val="Calibri"/>
        <family val="2"/>
        <scheme val="minor"/>
      </rPr>
      <t xml:space="preserve"> (NF3)</t>
    </r>
  </si>
  <si>
    <r>
      <t xml:space="preserve">NF2 = F2 </t>
    </r>
    <r>
      <rPr>
        <sz val="11"/>
        <color rgb="FFFF0000"/>
        <rFont val="Calibri"/>
        <family val="2"/>
        <scheme val="minor"/>
      </rPr>
      <t>- 0.125</t>
    </r>
    <r>
      <rPr>
        <sz val="11"/>
        <color theme="1"/>
        <rFont val="Calibri"/>
        <family val="2"/>
        <scheme val="minor"/>
      </rPr>
      <t xml:space="preserve"> (NF3)</t>
    </r>
  </si>
  <si>
    <t>-M+0.5</t>
  </si>
  <si>
    <t>SI (C-Z) &lt;=0</t>
  </si>
  <si>
    <t>FIN</t>
  </si>
  <si>
    <t>e2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</si>
</sst>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/>
    <xf numFmtId="0" fontId="6" fillId="0" borderId="0" xfId="0" applyFont="1"/>
    <xf numFmtId="49" fontId="0" fillId="0" borderId="0" xfId="0" applyNumberFormat="1"/>
    <xf numFmtId="0" fontId="9" fillId="0" borderId="0" xfId="0" applyFont="1" applyAlignment="1">
      <alignment horizontal="center"/>
    </xf>
    <xf numFmtId="0" fontId="9" fillId="0" borderId="0" xfId="0" applyFont="1"/>
    <xf numFmtId="49" fontId="5" fillId="0" borderId="0" xfId="0" applyNumberFormat="1" applyFont="1"/>
    <xf numFmtId="0" fontId="1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7" fillId="2" borderId="0" xfId="0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0" xfId="0" applyFill="1" applyBorder="1"/>
    <xf numFmtId="1" fontId="7" fillId="2" borderId="0" xfId="0" applyNumberFormat="1" applyFont="1" applyFill="1" applyAlignment="1">
      <alignment horizontal="center"/>
    </xf>
    <xf numFmtId="49" fontId="7" fillId="2" borderId="8" xfId="0" applyNumberFormat="1" applyFont="1" applyFill="1" applyBorder="1" applyAlignment="1">
      <alignment horizontal="center"/>
    </xf>
    <xf numFmtId="49" fontId="7" fillId="2" borderId="7" xfId="0" applyNumberFormat="1" applyFont="1" applyFill="1" applyBorder="1" applyAlignment="1">
      <alignment horizontal="center"/>
    </xf>
    <xf numFmtId="49" fontId="7" fillId="2" borderId="1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3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0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49" fontId="7" fillId="2" borderId="17" xfId="0" applyNumberFormat="1" applyFont="1" applyFill="1" applyBorder="1" applyAlignment="1">
      <alignment horizontal="center"/>
    </xf>
    <xf numFmtId="49" fontId="7" fillId="2" borderId="11" xfId="0" applyNumberFormat="1" applyFont="1" applyFill="1" applyBorder="1" applyAlignment="1">
      <alignment horizontal="center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center"/>
    </xf>
    <xf numFmtId="0" fontId="7" fillId="2" borderId="16" xfId="0" applyNumberFormat="1" applyFont="1" applyFill="1" applyBorder="1" applyAlignment="1">
      <alignment horizontal="center"/>
    </xf>
    <xf numFmtId="0" fontId="7" fillId="2" borderId="2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49" fontId="7" fillId="3" borderId="0" xfId="0" applyNumberFormat="1" applyFont="1" applyFill="1" applyBorder="1" applyAlignment="1">
      <alignment horizontal="center"/>
    </xf>
    <xf numFmtId="49" fontId="7" fillId="3" borderId="11" xfId="0" applyNumberFormat="1" applyFont="1" applyFill="1" applyBorder="1" applyAlignment="1">
      <alignment horizontal="center"/>
    </xf>
    <xf numFmtId="2" fontId="7" fillId="2" borderId="0" xfId="0" applyNumberFormat="1" applyFont="1" applyFill="1" applyBorder="1" applyAlignment="1">
      <alignment horizontal="center"/>
    </xf>
    <xf numFmtId="2" fontId="7" fillId="2" borderId="16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" fontId="7" fillId="3" borderId="0" xfId="0" applyNumberFormat="1" applyFont="1" applyFill="1" applyBorder="1" applyAlignment="1">
      <alignment horizontal="center"/>
    </xf>
    <xf numFmtId="1" fontId="7" fillId="2" borderId="0" xfId="0" applyNumberFormat="1" applyFont="1" applyFill="1" applyBorder="1" applyAlignment="1">
      <alignment horizontal="center"/>
    </xf>
    <xf numFmtId="1" fontId="7" fillId="2" borderId="16" xfId="0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1" fontId="7" fillId="3" borderId="16" xfId="0" applyNumberFormat="1" applyFont="1" applyFill="1" applyBorder="1" applyAlignment="1">
      <alignment horizontal="center"/>
    </xf>
    <xf numFmtId="1" fontId="5" fillId="4" borderId="0" xfId="0" applyNumberFormat="1" applyFont="1" applyFill="1" applyBorder="1" applyAlignment="1">
      <alignment horizontal="center"/>
    </xf>
    <xf numFmtId="49" fontId="7" fillId="2" borderId="0" xfId="0" applyNumberFormat="1" applyFont="1" applyFill="1" applyAlignment="1">
      <alignment horizontal="left"/>
    </xf>
    <xf numFmtId="164" fontId="7" fillId="2" borderId="0" xfId="0" applyNumberFormat="1" applyFont="1" applyFill="1" applyBorder="1" applyAlignment="1">
      <alignment horizontal="center"/>
    </xf>
    <xf numFmtId="164" fontId="7" fillId="2" borderId="16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3" borderId="0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2" fontId="7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7" fillId="3" borderId="16" xfId="0" applyNumberFormat="1" applyFont="1" applyFill="1" applyBorder="1" applyAlignment="1">
      <alignment horizontal="center"/>
    </xf>
    <xf numFmtId="164" fontId="5" fillId="4" borderId="0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49" fontId="7" fillId="3" borderId="3" xfId="0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2" fontId="7" fillId="2" borderId="11" xfId="0" applyNumberFormat="1" applyFont="1" applyFill="1" applyBorder="1" applyAlignment="1">
      <alignment horizontal="center"/>
    </xf>
    <xf numFmtId="49" fontId="7" fillId="2" borderId="13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2" fontId="7" fillId="2" borderId="20" xfId="0" applyNumberFormat="1" applyFont="1" applyFill="1" applyBorder="1" applyAlignment="1">
      <alignment horizontal="center" vertical="center"/>
    </xf>
    <xf numFmtId="2" fontId="7" fillId="2" borderId="21" xfId="0" applyNumberFormat="1" applyFont="1" applyFill="1" applyBorder="1" applyAlignment="1">
      <alignment horizontal="center" vertical="center"/>
    </xf>
    <xf numFmtId="49" fontId="7" fillId="2" borderId="20" xfId="0" applyNumberFormat="1" applyFont="1" applyFill="1" applyBorder="1" applyAlignment="1">
      <alignment horizontal="center" vertical="center"/>
    </xf>
    <xf numFmtId="49" fontId="7" fillId="2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8" fillId="3" borderId="6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49" fontId="7" fillId="0" borderId="0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49" fontId="7" fillId="2" borderId="0" xfId="0" applyNumberFormat="1" applyFont="1" applyFill="1" applyBorder="1"/>
    <xf numFmtId="49" fontId="12" fillId="2" borderId="0" xfId="0" applyNumberFormat="1" applyFont="1" applyFill="1" applyBorder="1" applyAlignment="1">
      <alignment horizontal="center"/>
    </xf>
    <xf numFmtId="49" fontId="12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21</xdr:row>
      <xdr:rowOff>114300</xdr:rowOff>
    </xdr:from>
    <xdr:to>
      <xdr:col>2</xdr:col>
      <xdr:colOff>438150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C6ED5B2-8764-4003-9A58-206EDE48DB3D}"/>
            </a:ext>
          </a:extLst>
        </xdr:cNvPr>
        <xdr:cNvCxnSpPr/>
      </xdr:nvCxnSpPr>
      <xdr:spPr>
        <a:xfrm flipV="1">
          <a:off x="803275" y="5054600"/>
          <a:ext cx="4032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E9C936C-1089-4C85-85DD-4F1819CECD22}"/>
            </a:ext>
          </a:extLst>
        </xdr:cNvPr>
        <xdr:cNvCxnSpPr/>
      </xdr:nvCxnSpPr>
      <xdr:spPr>
        <a:xfrm>
          <a:off x="538094" y="539533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F489EB9-AF99-49E4-838F-FDB984EC738F}"/>
            </a:ext>
          </a:extLst>
        </xdr:cNvPr>
        <xdr:cNvCxnSpPr/>
      </xdr:nvCxnSpPr>
      <xdr:spPr>
        <a:xfrm flipV="1">
          <a:off x="974725" y="69278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</xdr:row>
      <xdr:rowOff>5013</xdr:rowOff>
    </xdr:from>
    <xdr:to>
      <xdr:col>1</xdr:col>
      <xdr:colOff>381000</xdr:colOff>
      <xdr:row>33</xdr:row>
      <xdr:rowOff>171450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DFBBE43E-B8EC-4190-B73F-38935DB0C3A6}"/>
            </a:ext>
          </a:extLst>
        </xdr:cNvPr>
        <xdr:cNvCxnSpPr/>
      </xdr:nvCxnSpPr>
      <xdr:spPr>
        <a:xfrm>
          <a:off x="603250" y="700271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250B980-F462-4D9A-A95D-830672F51CA5}"/>
            </a:ext>
          </a:extLst>
        </xdr:cNvPr>
        <xdr:cNvCxnSpPr/>
      </xdr:nvCxnSpPr>
      <xdr:spPr>
        <a:xfrm flipV="1">
          <a:off x="974725" y="89789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AE911FD-C248-48F9-B986-BF4FD26ABBF5}"/>
            </a:ext>
          </a:extLst>
        </xdr:cNvPr>
        <xdr:cNvCxnSpPr/>
      </xdr:nvCxnSpPr>
      <xdr:spPr>
        <a:xfrm>
          <a:off x="603250" y="90537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E5800C8-DB8B-4893-A43E-9BA012A5044B}"/>
            </a:ext>
          </a:extLst>
        </xdr:cNvPr>
        <xdr:cNvCxnSpPr/>
      </xdr:nvCxnSpPr>
      <xdr:spPr>
        <a:xfrm flipV="1">
          <a:off x="974725" y="4686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</xdr:row>
      <xdr:rowOff>5013</xdr:rowOff>
    </xdr:from>
    <xdr:to>
      <xdr:col>1</xdr:col>
      <xdr:colOff>381000</xdr:colOff>
      <xdr:row>33</xdr:row>
      <xdr:rowOff>171450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4C86F9B0-8298-41AA-9AF7-0EA0E15BA0C8}"/>
            </a:ext>
          </a:extLst>
        </xdr:cNvPr>
        <xdr:cNvCxnSpPr/>
      </xdr:nvCxnSpPr>
      <xdr:spPr>
        <a:xfrm>
          <a:off x="603250" y="47611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A2589448-D48B-4674-975D-122D8B87329A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9792D7F3-249A-4F61-A60C-B10EA62AB539}"/>
            </a:ext>
          </a:extLst>
        </xdr:cNvPr>
        <xdr:cNvCxnSpPr/>
      </xdr:nvCxnSpPr>
      <xdr:spPr>
        <a:xfrm>
          <a:off x="603250" y="66153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CFEFC508-FB7F-4BEB-8D99-DC13ED15EB1B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C435F7E2-ABE7-4767-806E-E751B804304A}"/>
            </a:ext>
          </a:extLst>
        </xdr:cNvPr>
        <xdr:cNvCxnSpPr/>
      </xdr:nvCxnSpPr>
      <xdr:spPr>
        <a:xfrm>
          <a:off x="603250" y="66153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F20A746F-82BC-4214-B2FE-4164FADB7DA3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123" name="Conector recto de flecha 122">
          <a:extLst>
            <a:ext uri="{FF2B5EF4-FFF2-40B4-BE49-F238E27FC236}">
              <a16:creationId xmlns:a16="http://schemas.microsoft.com/office/drawing/2014/main" id="{550629B0-ECCC-4425-9A78-887646C0559C}"/>
            </a:ext>
          </a:extLst>
        </xdr:cNvPr>
        <xdr:cNvCxnSpPr/>
      </xdr:nvCxnSpPr>
      <xdr:spPr>
        <a:xfrm>
          <a:off x="601870" y="7453839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86B4FBA8-BD29-48DA-9126-4767A9C9C8B8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047BD01A-63B1-4680-86F2-545E7BD5FDE7}"/>
            </a:ext>
          </a:extLst>
        </xdr:cNvPr>
        <xdr:cNvCxnSpPr/>
      </xdr:nvCxnSpPr>
      <xdr:spPr>
        <a:xfrm>
          <a:off x="601870" y="7453839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13BF539F-9BBB-4C49-A676-9C25070C05AB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27" name="Conector recto de flecha 126">
          <a:extLst>
            <a:ext uri="{FF2B5EF4-FFF2-40B4-BE49-F238E27FC236}">
              <a16:creationId xmlns:a16="http://schemas.microsoft.com/office/drawing/2014/main" id="{59572AC8-3562-4F0F-AA5D-EC04A90B12ED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FA3B7F68-18F5-4FA1-906C-26FD560C0A84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29" name="Conector recto de flecha 128">
          <a:extLst>
            <a:ext uri="{FF2B5EF4-FFF2-40B4-BE49-F238E27FC236}">
              <a16:creationId xmlns:a16="http://schemas.microsoft.com/office/drawing/2014/main" id="{33159509-BB38-4451-B817-4295E7BDBD4C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0" name="Conector recto de flecha 129">
          <a:extLst>
            <a:ext uri="{FF2B5EF4-FFF2-40B4-BE49-F238E27FC236}">
              <a16:creationId xmlns:a16="http://schemas.microsoft.com/office/drawing/2014/main" id="{3E587284-FDE1-4779-B461-F28D916577BE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1" name="Conector recto de flecha 130">
          <a:extLst>
            <a:ext uri="{FF2B5EF4-FFF2-40B4-BE49-F238E27FC236}">
              <a16:creationId xmlns:a16="http://schemas.microsoft.com/office/drawing/2014/main" id="{216AA1D5-35ED-4E4C-B7C3-A8A10F1304CE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E672D377-A03E-4F3E-A5F8-FF2AEE453DA3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3" name="Conector recto de flecha 132">
          <a:extLst>
            <a:ext uri="{FF2B5EF4-FFF2-40B4-BE49-F238E27FC236}">
              <a16:creationId xmlns:a16="http://schemas.microsoft.com/office/drawing/2014/main" id="{46BF9F89-11BD-480B-BD25-B4072FF224C1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1B3F2A08-20C2-43E9-A2E6-97CE7FDAC6E6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E9725974-0B1D-4F75-88D8-42EF7FDC3B20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21</xdr:row>
      <xdr:rowOff>114300</xdr:rowOff>
    </xdr:from>
    <xdr:to>
      <xdr:col>2</xdr:col>
      <xdr:colOff>685800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404C79-84B1-4855-A02E-C51C9A688FD0}"/>
            </a:ext>
          </a:extLst>
        </xdr:cNvPr>
        <xdr:cNvCxnSpPr/>
      </xdr:nvCxnSpPr>
      <xdr:spPr>
        <a:xfrm flipV="1">
          <a:off x="1114425" y="50292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534761-6B3A-4D4C-B93A-ECEE95E1F1E6}"/>
            </a:ext>
          </a:extLst>
        </xdr:cNvPr>
        <xdr:cNvCxnSpPr/>
      </xdr:nvCxnSpPr>
      <xdr:spPr>
        <a:xfrm flipV="1">
          <a:off x="1114425" y="71437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393D4B9-A153-42EF-890A-F7450D7858A5}"/>
            </a:ext>
          </a:extLst>
        </xdr:cNvPr>
        <xdr:cNvCxnSpPr/>
      </xdr:nvCxnSpPr>
      <xdr:spPr>
        <a:xfrm flipV="1">
          <a:off x="1114425" y="9258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AA9B50D-DC5A-424B-904E-6B4D66FB206D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D63792D6-5FA8-481E-8770-2AEA3FB034CA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D49EACD8-7082-47A4-ADB1-1BC95FE4F469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E7E70F38-D803-4D0F-8B6D-9B770B7F82E5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1A946B75-98BA-4242-B1A5-E0C1F0E6DED2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282B51FA-8B36-4AFD-9B55-09704B64FB7D}"/>
            </a:ext>
          </a:extLst>
        </xdr:cNvPr>
        <xdr:cNvCxnSpPr/>
      </xdr:nvCxnSpPr>
      <xdr:spPr>
        <a:xfrm>
          <a:off x="539474" y="516949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E3072423-B96C-41B0-BA28-16C170DBE867}"/>
            </a:ext>
          </a:extLst>
        </xdr:cNvPr>
        <xdr:cNvCxnSpPr/>
      </xdr:nvCxnSpPr>
      <xdr:spPr>
        <a:xfrm flipV="1">
          <a:off x="1031875" y="5177735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33</xdr:row>
      <xdr:rowOff>596</xdr:rowOff>
    </xdr:from>
    <xdr:to>
      <xdr:col>1</xdr:col>
      <xdr:colOff>317224</xdr:colOff>
      <xdr:row>33</xdr:row>
      <xdr:rowOff>165100</xdr:rowOff>
    </xdr:to>
    <xdr:cxnSp macro="">
      <xdr:nvCxnSpPr>
        <xdr:cNvPr id="67" name="Conector recto de flecha 66">
          <a:extLst>
            <a:ext uri="{FF2B5EF4-FFF2-40B4-BE49-F238E27FC236}">
              <a16:creationId xmlns:a16="http://schemas.microsoft.com/office/drawing/2014/main" id="{610F5E11-80BE-417B-9EA8-9075670568ED}"/>
            </a:ext>
          </a:extLst>
        </xdr:cNvPr>
        <xdr:cNvCxnSpPr/>
      </xdr:nvCxnSpPr>
      <xdr:spPr>
        <a:xfrm>
          <a:off x="538094" y="5246248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ACB4E4A8-C4F6-4CCA-8130-8253567F6B96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423090BB-3F14-482E-952A-8D6810F6E41A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3B8A9A57-86E3-4012-B0E1-C5FD28031D9D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49D5F8C9-71FF-41CE-A687-73E64DEA8DF4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44</xdr:row>
      <xdr:rowOff>596</xdr:rowOff>
    </xdr:from>
    <xdr:to>
      <xdr:col>1</xdr:col>
      <xdr:colOff>317224</xdr:colOff>
      <xdr:row>44</xdr:row>
      <xdr:rowOff>165100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4637344A-D198-4F84-837D-82E7D1215856}"/>
            </a:ext>
          </a:extLst>
        </xdr:cNvPr>
        <xdr:cNvCxnSpPr/>
      </xdr:nvCxnSpPr>
      <xdr:spPr>
        <a:xfrm>
          <a:off x="538094" y="727272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1596FAC5-13D5-47FB-A87B-366CBD51949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656D8EA0-89E5-42BD-96BD-92DB7B79FC1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727F2571-7A8A-4E9D-B9ED-2929365E0B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85E88D9E-2306-4D46-9B14-0A3DE4EFC7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D89291AD-CBBE-469D-9004-BD4FBA8427FF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0B248C17-C12A-47D1-87BA-7AEE0EB0286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E31ACFDD-2158-4DE9-8099-E146B97C0392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D883091D-A7FE-4395-8759-EB3C7C2128B1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56</xdr:row>
      <xdr:rowOff>596</xdr:rowOff>
    </xdr:from>
    <xdr:to>
      <xdr:col>1</xdr:col>
      <xdr:colOff>317224</xdr:colOff>
      <xdr:row>56</xdr:row>
      <xdr:rowOff>165100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A50AC419-CED2-4963-8C4B-E3721CB0AA5E}"/>
            </a:ext>
          </a:extLst>
        </xdr:cNvPr>
        <xdr:cNvCxnSpPr/>
      </xdr:nvCxnSpPr>
      <xdr:spPr>
        <a:xfrm>
          <a:off x="538094" y="929920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6DB-CEC1-447F-AF23-581363A83C5C}">
  <dimension ref="B2:M107"/>
  <sheetViews>
    <sheetView showGridLines="0" tabSelected="1" topLeftCell="C49" zoomScaleNormal="100" workbookViewId="0">
      <selection activeCell="L15" sqref="L15:L17"/>
    </sheetView>
  </sheetViews>
  <sheetFormatPr baseColWidth="10" defaultRowHeight="14.5" x14ac:dyDescent="0.35"/>
  <cols>
    <col min="1" max="1" width="1.54296875" customWidth="1"/>
    <col min="2" max="2" width="9.08984375" customWidth="1"/>
    <col min="3" max="3" width="8.81640625" customWidth="1"/>
    <col min="4" max="4" width="10.453125" customWidth="1"/>
    <col min="5" max="5" width="12.7265625" customWidth="1"/>
    <col min="6" max="6" width="12.6328125" customWidth="1"/>
    <col min="7" max="7" width="13.453125" customWidth="1"/>
    <col min="8" max="8" width="11.6328125" customWidth="1"/>
    <col min="9" max="9" width="12.1796875" customWidth="1"/>
    <col min="10" max="10" width="8" customWidth="1"/>
    <col min="11" max="11" width="11.26953125" customWidth="1"/>
    <col min="12" max="12" width="18.26953125" style="1" customWidth="1"/>
    <col min="13" max="13" width="12.26953125" style="1" bestFit="1" customWidth="1"/>
  </cols>
  <sheetData>
    <row r="2" spans="2:12" ht="21" x14ac:dyDescent="0.5">
      <c r="B2" s="88" t="s">
        <v>8</v>
      </c>
      <c r="C2" s="88"/>
      <c r="D2" s="88"/>
      <c r="E2" s="88"/>
      <c r="F2" s="88"/>
      <c r="G2" s="88"/>
      <c r="H2" s="88"/>
      <c r="I2" s="88"/>
      <c r="J2" s="88"/>
      <c r="K2" s="88"/>
    </row>
    <row r="4" spans="2:12" ht="91" customHeight="1" x14ac:dyDescent="0.35">
      <c r="B4" s="89" t="s">
        <v>26</v>
      </c>
      <c r="C4" s="90"/>
      <c r="D4" s="90"/>
      <c r="E4" s="90"/>
      <c r="F4" s="90"/>
      <c r="G4" s="90"/>
      <c r="H4" s="90"/>
      <c r="I4" s="90"/>
      <c r="J4" s="90"/>
      <c r="K4" s="90"/>
    </row>
    <row r="6" spans="2:12" x14ac:dyDescent="0.35">
      <c r="B6" s="9" t="s">
        <v>0</v>
      </c>
    </row>
    <row r="7" spans="2:12" x14ac:dyDescent="0.35">
      <c r="B7" s="6" t="s">
        <v>12</v>
      </c>
      <c r="C7" s="7" t="s">
        <v>27</v>
      </c>
      <c r="D7" s="4"/>
    </row>
    <row r="8" spans="2:12" x14ac:dyDescent="0.35">
      <c r="B8" s="6" t="s">
        <v>13</v>
      </c>
      <c r="C8" s="7" t="s">
        <v>28</v>
      </c>
      <c r="D8" s="4"/>
    </row>
    <row r="10" spans="2:12" x14ac:dyDescent="0.35">
      <c r="B10" s="83" t="s">
        <v>1</v>
      </c>
      <c r="C10" s="83"/>
      <c r="E10" s="84" t="s">
        <v>16</v>
      </c>
      <c r="F10" s="85"/>
      <c r="G10" s="85"/>
      <c r="H10" s="85"/>
      <c r="I10" s="85"/>
      <c r="J10" s="86"/>
    </row>
    <row r="11" spans="2:12" x14ac:dyDescent="0.35">
      <c r="E11" s="18"/>
      <c r="F11" s="3"/>
      <c r="G11" s="3"/>
      <c r="H11" s="3"/>
      <c r="I11" s="3"/>
      <c r="J11" s="19"/>
    </row>
    <row r="12" spans="2:12" ht="16.5" x14ac:dyDescent="0.45">
      <c r="E12" s="18" t="s">
        <v>32</v>
      </c>
      <c r="F12" s="3"/>
      <c r="G12" s="3"/>
      <c r="H12" s="3"/>
      <c r="I12" s="3"/>
      <c r="J12" s="19"/>
    </row>
    <row r="13" spans="2:12" ht="16.5" x14ac:dyDescent="0.45">
      <c r="B13" t="s">
        <v>18</v>
      </c>
      <c r="E13" s="18" t="s">
        <v>20</v>
      </c>
      <c r="F13" s="3"/>
      <c r="G13" s="3"/>
      <c r="H13" s="3"/>
      <c r="I13" s="3"/>
      <c r="J13" s="19"/>
    </row>
    <row r="14" spans="2:12" x14ac:dyDescent="0.35">
      <c r="B14" t="s">
        <v>14</v>
      </c>
      <c r="E14" s="18" t="s">
        <v>14</v>
      </c>
      <c r="F14" s="3"/>
      <c r="G14" s="3"/>
      <c r="H14" s="3"/>
      <c r="I14" s="3"/>
      <c r="J14" s="19"/>
    </row>
    <row r="15" spans="2:12" ht="16.5" x14ac:dyDescent="0.45">
      <c r="C15" t="s">
        <v>21</v>
      </c>
      <c r="E15" s="18"/>
      <c r="F15" s="3" t="s">
        <v>19</v>
      </c>
      <c r="G15" s="3"/>
      <c r="H15" s="3"/>
      <c r="I15" s="3"/>
      <c r="J15" s="19"/>
      <c r="K15" s="12" t="s">
        <v>29</v>
      </c>
      <c r="L15" s="1">
        <f>3*27+1*5</f>
        <v>86</v>
      </c>
    </row>
    <row r="16" spans="2:12" ht="16.5" x14ac:dyDescent="0.45">
      <c r="C16" t="s">
        <v>22</v>
      </c>
      <c r="E16" s="18"/>
      <c r="F16" s="3" t="s">
        <v>23</v>
      </c>
      <c r="G16" s="3"/>
      <c r="H16" s="3"/>
      <c r="I16" s="3"/>
      <c r="J16" s="19"/>
      <c r="K16" s="11" t="s">
        <v>30</v>
      </c>
      <c r="L16" s="1">
        <f>1*27+3*5</f>
        <v>42</v>
      </c>
    </row>
    <row r="17" spans="2:13" ht="16.5" x14ac:dyDescent="0.45">
      <c r="C17" t="s">
        <v>25</v>
      </c>
      <c r="E17" s="18"/>
      <c r="F17" s="3" t="s">
        <v>24</v>
      </c>
      <c r="G17" s="3"/>
      <c r="H17" s="3"/>
      <c r="I17" s="3"/>
      <c r="J17" s="19"/>
      <c r="K17" s="17" t="s">
        <v>31</v>
      </c>
      <c r="L17" s="1">
        <f>27+5</f>
        <v>32</v>
      </c>
    </row>
    <row r="18" spans="2:13" x14ac:dyDescent="0.35">
      <c r="C18" t="s">
        <v>15</v>
      </c>
      <c r="E18" s="22"/>
      <c r="F18" s="20" t="s">
        <v>15</v>
      </c>
      <c r="G18" s="20"/>
      <c r="H18" s="20"/>
      <c r="I18" s="20"/>
      <c r="J18" s="21"/>
    </row>
    <row r="20" spans="2:13" x14ac:dyDescent="0.35">
      <c r="B20" s="87" t="s">
        <v>2</v>
      </c>
      <c r="C20" s="87"/>
    </row>
    <row r="21" spans="2:13" ht="15" thickBot="1" x14ac:dyDescent="0.4"/>
    <row r="22" spans="2:13" x14ac:dyDescent="0.35">
      <c r="B22" s="26" t="s">
        <v>3</v>
      </c>
      <c r="C22" s="27"/>
      <c r="D22" s="25" t="s">
        <v>57</v>
      </c>
      <c r="E22" s="25" t="s">
        <v>58</v>
      </c>
      <c r="F22" s="25" t="s">
        <v>59</v>
      </c>
      <c r="G22" s="25" t="s">
        <v>60</v>
      </c>
      <c r="H22" s="25" t="s">
        <v>59</v>
      </c>
      <c r="I22" s="25" t="s">
        <v>60</v>
      </c>
      <c r="J22" s="25" t="s">
        <v>59</v>
      </c>
      <c r="K22" s="77" t="s">
        <v>5</v>
      </c>
      <c r="L22" s="28"/>
      <c r="M22" s="28"/>
    </row>
    <row r="23" spans="2:13" x14ac:dyDescent="0.35">
      <c r="B23" s="29"/>
      <c r="C23" s="30" t="s">
        <v>4</v>
      </c>
      <c r="D23" s="46" t="s">
        <v>50</v>
      </c>
      <c r="E23" s="31" t="s">
        <v>51</v>
      </c>
      <c r="F23" s="31" t="s">
        <v>52</v>
      </c>
      <c r="G23" s="31" t="s">
        <v>53</v>
      </c>
      <c r="H23" s="31" t="s">
        <v>54</v>
      </c>
      <c r="I23" s="31" t="s">
        <v>55</v>
      </c>
      <c r="J23" s="31" t="s">
        <v>56</v>
      </c>
      <c r="K23" s="78"/>
      <c r="L23" s="32" t="s">
        <v>17</v>
      </c>
      <c r="M23" s="28"/>
    </row>
    <row r="24" spans="2:13" x14ac:dyDescent="0.35">
      <c r="B24" s="33" t="s">
        <v>59</v>
      </c>
      <c r="C24" s="59" t="s">
        <v>52</v>
      </c>
      <c r="D24" s="61">
        <v>3</v>
      </c>
      <c r="E24" s="52">
        <v>1</v>
      </c>
      <c r="F24" s="52">
        <v>1</v>
      </c>
      <c r="G24" s="52">
        <v>-1</v>
      </c>
      <c r="H24" s="52">
        <v>0</v>
      </c>
      <c r="I24" s="52">
        <v>0</v>
      </c>
      <c r="J24" s="52">
        <v>0</v>
      </c>
      <c r="K24" s="60">
        <v>48</v>
      </c>
      <c r="L24" s="58">
        <f>K24/D24</f>
        <v>16</v>
      </c>
      <c r="M24" s="28"/>
    </row>
    <row r="25" spans="2:13" x14ac:dyDescent="0.35">
      <c r="B25" s="33" t="s">
        <v>59</v>
      </c>
      <c r="C25" s="34" t="s">
        <v>54</v>
      </c>
      <c r="D25" s="52">
        <v>1</v>
      </c>
      <c r="E25" s="53">
        <v>3</v>
      </c>
      <c r="F25" s="53">
        <v>0</v>
      </c>
      <c r="G25" s="53">
        <v>0</v>
      </c>
      <c r="H25" s="53">
        <v>1</v>
      </c>
      <c r="I25" s="53">
        <v>-1</v>
      </c>
      <c r="J25" s="53">
        <v>0</v>
      </c>
      <c r="K25" s="54">
        <v>42</v>
      </c>
      <c r="L25" s="57">
        <f>K25/D25</f>
        <v>42</v>
      </c>
      <c r="M25" s="28"/>
    </row>
    <row r="26" spans="2:13" x14ac:dyDescent="0.35">
      <c r="B26" s="29" t="s">
        <v>59</v>
      </c>
      <c r="C26" s="30" t="s">
        <v>56</v>
      </c>
      <c r="D26" s="55">
        <v>1</v>
      </c>
      <c r="E26" s="56">
        <v>1</v>
      </c>
      <c r="F26" s="56">
        <v>0</v>
      </c>
      <c r="G26" s="56">
        <v>0</v>
      </c>
      <c r="H26" s="56">
        <v>0</v>
      </c>
      <c r="I26" s="56">
        <v>0</v>
      </c>
      <c r="J26" s="56">
        <v>1</v>
      </c>
      <c r="K26" s="54">
        <v>32</v>
      </c>
      <c r="L26" s="57">
        <f>K26/D26</f>
        <v>32</v>
      </c>
      <c r="M26" s="28"/>
    </row>
    <row r="27" spans="2:13" x14ac:dyDescent="0.35">
      <c r="B27" s="33"/>
      <c r="C27" s="34" t="s">
        <v>6</v>
      </c>
      <c r="D27" s="47" t="s">
        <v>61</v>
      </c>
      <c r="E27" s="35" t="s">
        <v>61</v>
      </c>
      <c r="F27" s="35" t="s">
        <v>59</v>
      </c>
      <c r="G27" s="35" t="s">
        <v>62</v>
      </c>
      <c r="H27" s="35" t="s">
        <v>59</v>
      </c>
      <c r="I27" s="35" t="s">
        <v>62</v>
      </c>
      <c r="J27" s="35" t="s">
        <v>59</v>
      </c>
      <c r="K27" s="81" t="s">
        <v>63</v>
      </c>
      <c r="L27" s="28"/>
      <c r="M27" s="28"/>
    </row>
    <row r="28" spans="2:13" ht="15" thickBot="1" x14ac:dyDescent="0.4">
      <c r="B28" s="36"/>
      <c r="C28" s="37" t="s">
        <v>7</v>
      </c>
      <c r="D28" s="48" t="s">
        <v>64</v>
      </c>
      <c r="E28" s="38" t="s">
        <v>65</v>
      </c>
      <c r="F28" s="38" t="s">
        <v>60</v>
      </c>
      <c r="G28" s="38" t="s">
        <v>59</v>
      </c>
      <c r="H28" s="38" t="s">
        <v>60</v>
      </c>
      <c r="I28" s="38" t="s">
        <v>59</v>
      </c>
      <c r="J28" s="38" t="s">
        <v>60</v>
      </c>
      <c r="K28" s="82"/>
      <c r="L28" s="28"/>
      <c r="M28" s="28"/>
    </row>
    <row r="29" spans="2:13" x14ac:dyDescent="0.35">
      <c r="B29" s="39"/>
      <c r="C29" s="35"/>
      <c r="D29" s="98" t="s">
        <v>66</v>
      </c>
      <c r="E29" s="99" t="s">
        <v>67</v>
      </c>
      <c r="F29" s="40"/>
      <c r="G29" s="40"/>
      <c r="H29" s="40"/>
      <c r="I29" s="40"/>
      <c r="J29" s="40"/>
      <c r="K29" s="39"/>
      <c r="L29" s="28"/>
      <c r="M29" s="28"/>
    </row>
    <row r="30" spans="2:13" x14ac:dyDescent="0.3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28"/>
      <c r="M30" s="28"/>
    </row>
    <row r="31" spans="2:13" x14ac:dyDescent="0.35">
      <c r="B31" s="96" t="s">
        <v>9</v>
      </c>
      <c r="C31" s="96"/>
      <c r="D31" s="39"/>
      <c r="E31" s="39"/>
      <c r="F31" s="39"/>
      <c r="G31" s="39"/>
      <c r="H31" s="39"/>
      <c r="I31" s="39"/>
      <c r="J31" s="39"/>
      <c r="K31" s="39"/>
      <c r="L31" s="28"/>
      <c r="M31" s="28"/>
    </row>
    <row r="32" spans="2:13" ht="15" thickBot="1" x14ac:dyDescent="0.4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8"/>
      <c r="M32" s="28"/>
    </row>
    <row r="33" spans="2:13" x14ac:dyDescent="0.35">
      <c r="B33" s="26" t="s">
        <v>3</v>
      </c>
      <c r="C33" s="27"/>
      <c r="D33" s="25" t="s">
        <v>57</v>
      </c>
      <c r="E33" s="25" t="s">
        <v>58</v>
      </c>
      <c r="F33" s="25" t="s">
        <v>59</v>
      </c>
      <c r="G33" s="25" t="s">
        <v>60</v>
      </c>
      <c r="H33" s="25" t="s">
        <v>59</v>
      </c>
      <c r="I33" s="25" t="s">
        <v>60</v>
      </c>
      <c r="J33" s="25" t="s">
        <v>59</v>
      </c>
      <c r="K33" s="77" t="s">
        <v>5</v>
      </c>
      <c r="L33" s="40"/>
      <c r="M33" s="40"/>
    </row>
    <row r="34" spans="2:13" x14ac:dyDescent="0.35">
      <c r="B34" s="29"/>
      <c r="C34" s="30" t="s">
        <v>4</v>
      </c>
      <c r="D34" s="31" t="s">
        <v>50</v>
      </c>
      <c r="E34" s="46" t="s">
        <v>51</v>
      </c>
      <c r="F34" s="31" t="s">
        <v>52</v>
      </c>
      <c r="G34" s="31" t="s">
        <v>53</v>
      </c>
      <c r="H34" s="31" t="s">
        <v>54</v>
      </c>
      <c r="I34" s="31" t="s">
        <v>55</v>
      </c>
      <c r="J34" s="31" t="s">
        <v>56</v>
      </c>
      <c r="K34" s="78"/>
      <c r="L34" s="40" t="s">
        <v>68</v>
      </c>
      <c r="M34" s="40" t="s">
        <v>17</v>
      </c>
    </row>
    <row r="35" spans="2:13" x14ac:dyDescent="0.35">
      <c r="B35" s="33" t="s">
        <v>57</v>
      </c>
      <c r="C35" s="34" t="s">
        <v>50</v>
      </c>
      <c r="D35" s="63">
        <f>D24/3</f>
        <v>1</v>
      </c>
      <c r="E35" s="66">
        <f>E24/3</f>
        <v>0.33333333333333331</v>
      </c>
      <c r="F35" s="63">
        <f>F24/3</f>
        <v>0.33333333333333331</v>
      </c>
      <c r="G35" s="63">
        <f>G24/3</f>
        <v>-0.33333333333333331</v>
      </c>
      <c r="H35" s="63">
        <f>H24/3</f>
        <v>0</v>
      </c>
      <c r="I35" s="63">
        <f>I24/3</f>
        <v>0</v>
      </c>
      <c r="J35" s="63">
        <f>J24/3</f>
        <v>0</v>
      </c>
      <c r="K35" s="64">
        <f>K24/3</f>
        <v>16</v>
      </c>
      <c r="L35" s="62" t="s">
        <v>97</v>
      </c>
      <c r="M35" s="68">
        <f>K35/E35</f>
        <v>48</v>
      </c>
    </row>
    <row r="36" spans="2:13" x14ac:dyDescent="0.35">
      <c r="B36" s="33" t="s">
        <v>59</v>
      </c>
      <c r="C36" s="59" t="s">
        <v>54</v>
      </c>
      <c r="D36" s="66">
        <f>D25-1*D35</f>
        <v>0</v>
      </c>
      <c r="E36" s="71">
        <f>E25-1*E35</f>
        <v>2.6666666666666665</v>
      </c>
      <c r="F36" s="66">
        <f>F25-1*F35</f>
        <v>-0.33333333333333331</v>
      </c>
      <c r="G36" s="66">
        <f>G25-1*G35</f>
        <v>0.33333333333333331</v>
      </c>
      <c r="H36" s="66">
        <f>H25-1*H35</f>
        <v>1</v>
      </c>
      <c r="I36" s="66">
        <f>I25-1*I35</f>
        <v>-1</v>
      </c>
      <c r="J36" s="66">
        <f>J25-1*J35</f>
        <v>0</v>
      </c>
      <c r="K36" s="70">
        <f>K25-1*K35</f>
        <v>26</v>
      </c>
      <c r="L36" s="62" t="s">
        <v>98</v>
      </c>
      <c r="M36" s="69">
        <f>K36/E36</f>
        <v>9.75</v>
      </c>
    </row>
    <row r="37" spans="2:13" x14ac:dyDescent="0.35">
      <c r="B37" s="29" t="s">
        <v>59</v>
      </c>
      <c r="C37" s="30" t="s">
        <v>56</v>
      </c>
      <c r="D37" s="65">
        <f>D26-1*D35</f>
        <v>0</v>
      </c>
      <c r="E37" s="67">
        <f>E26-1*E35</f>
        <v>0.66666666666666674</v>
      </c>
      <c r="F37" s="65">
        <f>F26-1*F35</f>
        <v>-0.33333333333333331</v>
      </c>
      <c r="G37" s="65">
        <f>G26-1*G35</f>
        <v>0.33333333333333331</v>
      </c>
      <c r="H37" s="65">
        <f>H26-1*H35</f>
        <v>0</v>
      </c>
      <c r="I37" s="65">
        <f>I26-1*I35</f>
        <v>0</v>
      </c>
      <c r="J37" s="65">
        <f>J26-1*J35</f>
        <v>1</v>
      </c>
      <c r="K37" s="64">
        <f>K26-1*K35</f>
        <v>16</v>
      </c>
      <c r="L37" s="62" t="s">
        <v>99</v>
      </c>
      <c r="M37" s="68">
        <f>K37/E37</f>
        <v>23.999999999999996</v>
      </c>
    </row>
    <row r="38" spans="2:13" x14ac:dyDescent="0.35">
      <c r="B38" s="33"/>
      <c r="C38" s="34" t="s">
        <v>6</v>
      </c>
      <c r="D38" s="35" t="s">
        <v>57</v>
      </c>
      <c r="E38" s="47" t="s">
        <v>84</v>
      </c>
      <c r="F38" s="35" t="s">
        <v>85</v>
      </c>
      <c r="G38" s="35" t="s">
        <v>86</v>
      </c>
      <c r="H38" s="35" t="s">
        <v>59</v>
      </c>
      <c r="I38" s="35" t="s">
        <v>62</v>
      </c>
      <c r="J38" s="35" t="s">
        <v>59</v>
      </c>
      <c r="K38" s="81" t="s">
        <v>69</v>
      </c>
      <c r="L38" s="40"/>
      <c r="M38" s="40"/>
    </row>
    <row r="39" spans="2:13" ht="15" thickBot="1" x14ac:dyDescent="0.4">
      <c r="B39" s="36"/>
      <c r="C39" s="37" t="s">
        <v>7</v>
      </c>
      <c r="D39" s="38" t="s">
        <v>60</v>
      </c>
      <c r="E39" s="48" t="s">
        <v>87</v>
      </c>
      <c r="F39" s="38" t="s">
        <v>88</v>
      </c>
      <c r="G39" s="38" t="s">
        <v>85</v>
      </c>
      <c r="H39" s="38" t="s">
        <v>60</v>
      </c>
      <c r="I39" s="38" t="s">
        <v>59</v>
      </c>
      <c r="J39" s="38" t="s">
        <v>60</v>
      </c>
      <c r="K39" s="82"/>
      <c r="L39" s="40"/>
      <c r="M39" s="40"/>
    </row>
    <row r="40" spans="2:13" s="13" customFormat="1" x14ac:dyDescent="0.35">
      <c r="B40" s="39"/>
      <c r="C40" s="39"/>
      <c r="D40" s="99" t="s">
        <v>70</v>
      </c>
      <c r="E40" s="99" t="s">
        <v>71</v>
      </c>
      <c r="F40" s="40"/>
      <c r="G40" s="40"/>
      <c r="H40" s="40"/>
      <c r="I40" s="40"/>
      <c r="J40" s="40"/>
      <c r="K40" s="39"/>
      <c r="L40" s="40"/>
      <c r="M40" s="40"/>
    </row>
    <row r="41" spans="2:13" x14ac:dyDescent="0.3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28"/>
      <c r="M41" s="28"/>
    </row>
    <row r="42" spans="2:13" x14ac:dyDescent="0.35">
      <c r="B42" s="96" t="s">
        <v>10</v>
      </c>
      <c r="C42" s="96"/>
      <c r="D42" s="39"/>
      <c r="E42" s="39"/>
      <c r="F42" s="39"/>
      <c r="G42" s="39"/>
      <c r="H42" s="39"/>
      <c r="I42" s="39"/>
      <c r="J42" s="39"/>
      <c r="K42" s="39"/>
      <c r="L42" s="28"/>
      <c r="M42" s="28"/>
    </row>
    <row r="43" spans="2:13" ht="15" thickBot="1" x14ac:dyDescent="0.4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28"/>
      <c r="M43" s="28"/>
    </row>
    <row r="44" spans="2:13" x14ac:dyDescent="0.35">
      <c r="B44" s="26" t="s">
        <v>3</v>
      </c>
      <c r="C44" s="27"/>
      <c r="D44" s="25" t="s">
        <v>57</v>
      </c>
      <c r="E44" s="25" t="s">
        <v>58</v>
      </c>
      <c r="F44" s="25" t="s">
        <v>59</v>
      </c>
      <c r="G44" s="25" t="s">
        <v>60</v>
      </c>
      <c r="H44" s="25" t="s">
        <v>59</v>
      </c>
      <c r="I44" s="25" t="s">
        <v>60</v>
      </c>
      <c r="J44" s="25" t="s">
        <v>59</v>
      </c>
      <c r="K44" s="77" t="s">
        <v>5</v>
      </c>
      <c r="L44" s="28"/>
      <c r="M44" s="28"/>
    </row>
    <row r="45" spans="2:13" x14ac:dyDescent="0.35">
      <c r="B45" s="29"/>
      <c r="C45" s="30" t="s">
        <v>4</v>
      </c>
      <c r="D45" s="31" t="s">
        <v>50</v>
      </c>
      <c r="E45" s="31" t="s">
        <v>51</v>
      </c>
      <c r="F45" s="31" t="s">
        <v>52</v>
      </c>
      <c r="G45" s="46" t="s">
        <v>53</v>
      </c>
      <c r="H45" s="31" t="s">
        <v>54</v>
      </c>
      <c r="I45" s="31" t="s">
        <v>55</v>
      </c>
      <c r="J45" s="31" t="s">
        <v>56</v>
      </c>
      <c r="K45" s="78"/>
      <c r="L45" s="40" t="s">
        <v>68</v>
      </c>
      <c r="M45" s="28" t="s">
        <v>17</v>
      </c>
    </row>
    <row r="46" spans="2:13" x14ac:dyDescent="0.35">
      <c r="B46" s="33" t="s">
        <v>57</v>
      </c>
      <c r="C46" s="34" t="s">
        <v>50</v>
      </c>
      <c r="D46" s="63">
        <f>D35-(1/3)*D47</f>
        <v>1</v>
      </c>
      <c r="E46" s="63">
        <f>E35-(1/3)*E47</f>
        <v>0</v>
      </c>
      <c r="F46" s="63">
        <f t="shared" ref="F46:J46" si="0">F35-(1/3)*F47</f>
        <v>0.375</v>
      </c>
      <c r="G46" s="66">
        <f t="shared" si="0"/>
        <v>-0.375</v>
      </c>
      <c r="H46" s="63">
        <f t="shared" si="0"/>
        <v>-0.125</v>
      </c>
      <c r="I46" s="63">
        <f t="shared" si="0"/>
        <v>0.125</v>
      </c>
      <c r="J46" s="63">
        <f t="shared" si="0"/>
        <v>0</v>
      </c>
      <c r="K46" s="64">
        <f>K35-(1/3)*K47</f>
        <v>12.75</v>
      </c>
      <c r="L46" s="62" t="s">
        <v>90</v>
      </c>
      <c r="M46" s="94" t="s">
        <v>102</v>
      </c>
    </row>
    <row r="47" spans="2:13" x14ac:dyDescent="0.35">
      <c r="B47" s="33" t="s">
        <v>58</v>
      </c>
      <c r="C47" s="34" t="s">
        <v>51</v>
      </c>
      <c r="D47" s="63">
        <f>D36*3/8</f>
        <v>0</v>
      </c>
      <c r="E47" s="63">
        <f>E36*3/8</f>
        <v>1</v>
      </c>
      <c r="F47" s="63">
        <f>F36*3/8</f>
        <v>-0.125</v>
      </c>
      <c r="G47" s="66">
        <f>G36*3/8</f>
        <v>0.125</v>
      </c>
      <c r="H47" s="63">
        <f>H36*3/8</f>
        <v>0.375</v>
      </c>
      <c r="I47" s="63">
        <f>I36*3/8</f>
        <v>-0.375</v>
      </c>
      <c r="J47" s="63">
        <f>J36*3/8</f>
        <v>0</v>
      </c>
      <c r="K47" s="64">
        <f>K36*3/8</f>
        <v>9.75</v>
      </c>
      <c r="L47" s="62" t="s">
        <v>89</v>
      </c>
      <c r="M47" s="94">
        <f>K47/G47</f>
        <v>78</v>
      </c>
    </row>
    <row r="48" spans="2:13" x14ac:dyDescent="0.35">
      <c r="B48" s="29" t="s">
        <v>59</v>
      </c>
      <c r="C48" s="73" t="s">
        <v>56</v>
      </c>
      <c r="D48" s="67">
        <f>D37-(2/3)*D47</f>
        <v>0</v>
      </c>
      <c r="E48" s="67">
        <f>E37-(2/3)*E47</f>
        <v>0</v>
      </c>
      <c r="F48" s="67">
        <f t="shared" ref="F48:J48" si="1">F37-(2/3)*F47</f>
        <v>-0.25</v>
      </c>
      <c r="G48" s="74">
        <f t="shared" si="1"/>
        <v>0.25</v>
      </c>
      <c r="H48" s="67">
        <f t="shared" si="1"/>
        <v>-0.25</v>
      </c>
      <c r="I48" s="67">
        <f t="shared" si="1"/>
        <v>0.25</v>
      </c>
      <c r="J48" s="67">
        <f t="shared" si="1"/>
        <v>1</v>
      </c>
      <c r="K48" s="70">
        <f>K37-(2/3)*K47</f>
        <v>9.5</v>
      </c>
      <c r="L48" s="95" t="s">
        <v>100</v>
      </c>
      <c r="M48" s="72">
        <f>K48/G48</f>
        <v>38</v>
      </c>
    </row>
    <row r="49" spans="2:13" x14ac:dyDescent="0.35">
      <c r="B49" s="33"/>
      <c r="C49" s="34" t="s">
        <v>6</v>
      </c>
      <c r="D49" s="35" t="s">
        <v>57</v>
      </c>
      <c r="E49" s="35" t="s">
        <v>58</v>
      </c>
      <c r="F49" s="35" t="s">
        <v>72</v>
      </c>
      <c r="G49" s="47" t="s">
        <v>73</v>
      </c>
      <c r="H49" s="35" t="s">
        <v>74</v>
      </c>
      <c r="I49" s="35" t="s">
        <v>75</v>
      </c>
      <c r="J49" s="35" t="s">
        <v>59</v>
      </c>
      <c r="K49" s="81" t="s">
        <v>101</v>
      </c>
      <c r="L49" s="41"/>
      <c r="M49" s="28"/>
    </row>
    <row r="50" spans="2:13" ht="15" thickBot="1" x14ac:dyDescent="0.4">
      <c r="B50" s="36"/>
      <c r="C50" s="37" t="s">
        <v>7</v>
      </c>
      <c r="D50" s="38" t="s">
        <v>60</v>
      </c>
      <c r="E50" s="38" t="s">
        <v>60</v>
      </c>
      <c r="F50" s="38" t="s">
        <v>76</v>
      </c>
      <c r="G50" s="48" t="s">
        <v>72</v>
      </c>
      <c r="H50" s="38" t="s">
        <v>77</v>
      </c>
      <c r="I50" s="38" t="s">
        <v>74</v>
      </c>
      <c r="J50" s="38" t="s">
        <v>60</v>
      </c>
      <c r="K50" s="82"/>
      <c r="L50" s="28"/>
      <c r="M50" s="28"/>
    </row>
    <row r="51" spans="2:13" x14ac:dyDescent="0.35">
      <c r="B51" s="39"/>
      <c r="C51" s="39"/>
      <c r="D51" s="99" t="s">
        <v>78</v>
      </c>
      <c r="E51" s="99" t="s">
        <v>79</v>
      </c>
      <c r="F51" s="39"/>
      <c r="G51" s="40"/>
      <c r="H51" s="40"/>
      <c r="I51" s="40"/>
      <c r="J51" s="39"/>
      <c r="K51" s="39"/>
      <c r="L51" s="28"/>
      <c r="M51" s="28"/>
    </row>
    <row r="52" spans="2:13" x14ac:dyDescent="0.35">
      <c r="B52" s="39"/>
      <c r="C52" s="35"/>
      <c r="D52" s="97"/>
      <c r="E52" s="97"/>
      <c r="F52" s="97"/>
      <c r="G52" s="97"/>
      <c r="H52" s="97"/>
      <c r="I52" s="97"/>
      <c r="J52" s="97"/>
      <c r="K52" s="35"/>
      <c r="L52" s="42"/>
      <c r="M52" s="28"/>
    </row>
    <row r="53" spans="2:13" x14ac:dyDescent="0.35">
      <c r="B53" s="39"/>
      <c r="C53" s="35"/>
      <c r="D53" s="97"/>
      <c r="E53" s="97"/>
      <c r="F53" s="97"/>
      <c r="G53" s="97"/>
      <c r="H53" s="97"/>
      <c r="I53" s="97"/>
      <c r="J53" s="97"/>
      <c r="K53" s="35"/>
      <c r="L53" s="42"/>
      <c r="M53" s="28"/>
    </row>
    <row r="54" spans="2:13" x14ac:dyDescent="0.35">
      <c r="B54" s="96" t="s">
        <v>33</v>
      </c>
      <c r="C54" s="96"/>
      <c r="D54" s="39"/>
      <c r="E54" s="39"/>
      <c r="F54" s="39"/>
      <c r="G54" s="39"/>
      <c r="H54" s="39"/>
      <c r="I54" s="39"/>
      <c r="J54" s="39"/>
      <c r="K54" s="39"/>
      <c r="L54" s="28"/>
      <c r="M54" s="28"/>
    </row>
    <row r="55" spans="2:13" ht="15" thickBot="1" x14ac:dyDescent="0.4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28"/>
      <c r="M55" s="28"/>
    </row>
    <row r="56" spans="2:13" x14ac:dyDescent="0.35">
      <c r="B56" s="26" t="s">
        <v>3</v>
      </c>
      <c r="C56" s="27"/>
      <c r="D56" s="25" t="s">
        <v>57</v>
      </c>
      <c r="E56" s="25" t="s">
        <v>58</v>
      </c>
      <c r="F56" s="25" t="s">
        <v>59</v>
      </c>
      <c r="G56" s="25" t="s">
        <v>60</v>
      </c>
      <c r="H56" s="25" t="s">
        <v>59</v>
      </c>
      <c r="I56" s="25" t="s">
        <v>60</v>
      </c>
      <c r="J56" s="25" t="s">
        <v>59</v>
      </c>
      <c r="K56" s="77" t="s">
        <v>5</v>
      </c>
      <c r="L56" s="28"/>
      <c r="M56" s="28"/>
    </row>
    <row r="57" spans="2:13" x14ac:dyDescent="0.35">
      <c r="B57" s="29"/>
      <c r="C57" s="30" t="s">
        <v>4</v>
      </c>
      <c r="D57" s="31" t="s">
        <v>50</v>
      </c>
      <c r="E57" s="31" t="s">
        <v>51</v>
      </c>
      <c r="F57" s="31" t="s">
        <v>52</v>
      </c>
      <c r="G57" s="31" t="s">
        <v>53</v>
      </c>
      <c r="H57" s="31" t="s">
        <v>54</v>
      </c>
      <c r="I57" s="31" t="s">
        <v>55</v>
      </c>
      <c r="J57" s="31" t="s">
        <v>56</v>
      </c>
      <c r="K57" s="78"/>
      <c r="L57" s="28" t="s">
        <v>68</v>
      </c>
      <c r="M57" s="28"/>
    </row>
    <row r="58" spans="2:13" x14ac:dyDescent="0.35">
      <c r="B58" s="33" t="s">
        <v>57</v>
      </c>
      <c r="C58" s="34" t="s">
        <v>50</v>
      </c>
      <c r="D58" s="49">
        <f>D46 + 0.375*D60</f>
        <v>1</v>
      </c>
      <c r="E58" s="49">
        <f t="shared" ref="E58:J58" si="2">E46 + 0.375*E60</f>
        <v>0</v>
      </c>
      <c r="F58" s="49">
        <f t="shared" si="2"/>
        <v>0</v>
      </c>
      <c r="G58" s="49">
        <f t="shared" si="2"/>
        <v>0</v>
      </c>
      <c r="H58" s="49">
        <f t="shared" si="2"/>
        <v>-0.5</v>
      </c>
      <c r="I58" s="49">
        <f t="shared" si="2"/>
        <v>0.5</v>
      </c>
      <c r="J58" s="49">
        <f t="shared" si="2"/>
        <v>1.5</v>
      </c>
      <c r="K58" s="50">
        <f>K46+0.375*K60</f>
        <v>27</v>
      </c>
      <c r="L58" s="75" t="s">
        <v>103</v>
      </c>
      <c r="M58" s="28"/>
    </row>
    <row r="59" spans="2:13" x14ac:dyDescent="0.35">
      <c r="B59" s="33" t="s">
        <v>58</v>
      </c>
      <c r="C59" s="34" t="s">
        <v>51</v>
      </c>
      <c r="D59" s="49">
        <f>D47-0.125*D60</f>
        <v>0</v>
      </c>
      <c r="E59" s="49">
        <f t="shared" ref="E59:J59" si="3">E47-0.125*E60</f>
        <v>1</v>
      </c>
      <c r="F59" s="49">
        <f t="shared" si="3"/>
        <v>0</v>
      </c>
      <c r="G59" s="49">
        <f t="shared" si="3"/>
        <v>0</v>
      </c>
      <c r="H59" s="49">
        <f t="shared" si="3"/>
        <v>0.5</v>
      </c>
      <c r="I59" s="49">
        <f t="shared" si="3"/>
        <v>-0.5</v>
      </c>
      <c r="J59" s="49">
        <f t="shared" si="3"/>
        <v>-0.5</v>
      </c>
      <c r="K59" s="50">
        <f>K47-0.125*K60</f>
        <v>5</v>
      </c>
      <c r="L59" s="75" t="s">
        <v>104</v>
      </c>
      <c r="M59" s="28"/>
    </row>
    <row r="60" spans="2:13" x14ac:dyDescent="0.35">
      <c r="B60" s="29" t="s">
        <v>60</v>
      </c>
      <c r="C60" s="30" t="s">
        <v>53</v>
      </c>
      <c r="D60" s="51">
        <f>D48*4</f>
        <v>0</v>
      </c>
      <c r="E60" s="51">
        <f t="shared" ref="E60:J60" si="4">E48*4</f>
        <v>0</v>
      </c>
      <c r="F60" s="51">
        <f t="shared" si="4"/>
        <v>-1</v>
      </c>
      <c r="G60" s="51">
        <f t="shared" si="4"/>
        <v>1</v>
      </c>
      <c r="H60" s="51">
        <f>H48*4</f>
        <v>-1</v>
      </c>
      <c r="I60" s="51">
        <f t="shared" si="4"/>
        <v>1</v>
      </c>
      <c r="J60" s="51">
        <f t="shared" si="4"/>
        <v>4</v>
      </c>
      <c r="K60" s="50">
        <f>K48*4</f>
        <v>38</v>
      </c>
      <c r="L60" s="75" t="s">
        <v>91</v>
      </c>
      <c r="M60" s="28"/>
    </row>
    <row r="61" spans="2:13" x14ac:dyDescent="0.35">
      <c r="B61" s="33"/>
      <c r="C61" s="34" t="s">
        <v>6</v>
      </c>
      <c r="D61" s="49">
        <f>$B$58*D58+$B$59*D59+$B$60*D60</f>
        <v>-2</v>
      </c>
      <c r="E61" s="49">
        <f t="shared" ref="E61:J61" si="5">$B$58*E58+$B$59*E59+$B$60*E60</f>
        <v>-3</v>
      </c>
      <c r="F61" s="49">
        <f t="shared" si="5"/>
        <v>0</v>
      </c>
      <c r="G61" s="49">
        <f t="shared" si="5"/>
        <v>0</v>
      </c>
      <c r="H61" s="49">
        <f t="shared" si="5"/>
        <v>-0.5</v>
      </c>
      <c r="I61" s="49">
        <f t="shared" si="5"/>
        <v>0.5</v>
      </c>
      <c r="J61" s="49">
        <f t="shared" si="5"/>
        <v>-1.5</v>
      </c>
      <c r="K61" s="79">
        <f>B58*K58+B59*K59+B60*K60</f>
        <v>-69</v>
      </c>
      <c r="L61" s="28"/>
      <c r="M61" s="28"/>
    </row>
    <row r="62" spans="2:13" ht="15" thickBot="1" x14ac:dyDescent="0.4">
      <c r="B62" s="36"/>
      <c r="C62" s="37" t="s">
        <v>7</v>
      </c>
      <c r="D62" s="76">
        <v>0</v>
      </c>
      <c r="E62" s="76">
        <v>0</v>
      </c>
      <c r="F62" s="38" t="s">
        <v>59</v>
      </c>
      <c r="G62" s="76">
        <v>0</v>
      </c>
      <c r="H62" s="38" t="s">
        <v>105</v>
      </c>
      <c r="I62" s="76">
        <v>-0.5</v>
      </c>
      <c r="J62" s="38" t="s">
        <v>80</v>
      </c>
      <c r="K62" s="80"/>
      <c r="L62" s="28"/>
      <c r="M62" s="28"/>
    </row>
    <row r="63" spans="2:13" x14ac:dyDescent="0.35">
      <c r="B63" s="8"/>
      <c r="C63" s="8" t="s">
        <v>106</v>
      </c>
      <c r="D63" s="100" t="s">
        <v>107</v>
      </c>
      <c r="E63" s="5"/>
      <c r="F63" s="5"/>
      <c r="G63" s="5"/>
      <c r="H63" s="5"/>
      <c r="I63" s="5"/>
      <c r="J63" s="5"/>
      <c r="K63" s="5"/>
      <c r="L63" s="28"/>
      <c r="M63" s="28"/>
    </row>
    <row r="64" spans="2:13" x14ac:dyDescent="0.35">
      <c r="B64" s="5"/>
      <c r="C64" s="5"/>
      <c r="D64" s="5"/>
      <c r="E64" s="5"/>
      <c r="F64" s="5"/>
      <c r="G64" s="5"/>
      <c r="H64" s="5"/>
      <c r="I64" s="5"/>
      <c r="J64" s="5"/>
      <c r="K64" s="5"/>
      <c r="L64" s="28"/>
      <c r="M64" s="28"/>
    </row>
    <row r="65" spans="2:13" x14ac:dyDescent="0.35">
      <c r="B65" s="5"/>
      <c r="C65" s="5"/>
      <c r="D65" s="5" t="s">
        <v>92</v>
      </c>
      <c r="E65" s="5" t="s">
        <v>92</v>
      </c>
      <c r="F65" s="5"/>
      <c r="G65" s="5"/>
      <c r="H65" s="5"/>
      <c r="I65" s="5"/>
      <c r="J65" s="5"/>
      <c r="K65" s="5"/>
      <c r="L65" s="28"/>
      <c r="M65" s="28"/>
    </row>
    <row r="66" spans="2:13" x14ac:dyDescent="0.35">
      <c r="B66" s="5"/>
      <c r="C66" s="5"/>
      <c r="D66" s="5" t="s">
        <v>93</v>
      </c>
      <c r="E66" s="5" t="s">
        <v>95</v>
      </c>
      <c r="F66" s="5"/>
      <c r="G66" s="5"/>
      <c r="H66" s="5"/>
      <c r="I66" s="5"/>
      <c r="J66" s="5"/>
      <c r="K66" s="5"/>
      <c r="L66" s="28"/>
      <c r="M66" s="28"/>
    </row>
    <row r="67" spans="2:13" x14ac:dyDescent="0.35">
      <c r="B67" s="5"/>
      <c r="C67" s="5"/>
      <c r="D67" s="5" t="s">
        <v>81</v>
      </c>
      <c r="E67" s="5" t="s">
        <v>108</v>
      </c>
      <c r="F67" s="28" t="s">
        <v>96</v>
      </c>
      <c r="G67" s="5"/>
      <c r="H67" s="5"/>
      <c r="I67" s="5"/>
      <c r="J67" s="5"/>
      <c r="K67" s="5"/>
      <c r="L67" s="28"/>
      <c r="M67" s="28"/>
    </row>
    <row r="68" spans="2:13" x14ac:dyDescent="0.35">
      <c r="B68" s="5"/>
      <c r="C68" s="5"/>
      <c r="D68" s="5" t="s">
        <v>82</v>
      </c>
      <c r="E68" s="5"/>
      <c r="F68" s="28" t="s">
        <v>83</v>
      </c>
      <c r="G68" s="5"/>
      <c r="H68" s="5"/>
      <c r="I68" s="5"/>
      <c r="J68" s="5"/>
      <c r="K68" s="5"/>
      <c r="L68" s="28"/>
      <c r="M68" s="28"/>
    </row>
    <row r="69" spans="2:13" x14ac:dyDescent="0.35">
      <c r="B69" s="5"/>
      <c r="C69" s="5"/>
      <c r="D69" s="5" t="s">
        <v>94</v>
      </c>
      <c r="E69" s="5"/>
      <c r="F69" s="5"/>
      <c r="G69" s="5"/>
      <c r="H69" s="5"/>
      <c r="I69" s="5"/>
      <c r="J69" s="5"/>
      <c r="K69" s="5"/>
      <c r="L69" s="28"/>
      <c r="M69" s="28"/>
    </row>
    <row r="70" spans="2:13" x14ac:dyDescent="0.35">
      <c r="B70" s="5"/>
      <c r="C70" s="5"/>
      <c r="D70" s="5"/>
      <c r="E70" s="5"/>
      <c r="F70" s="5"/>
      <c r="G70" s="5"/>
      <c r="H70" s="5"/>
      <c r="I70" s="5"/>
      <c r="J70" s="5"/>
      <c r="K70" s="5"/>
      <c r="L70" s="28"/>
      <c r="M70" s="28"/>
    </row>
    <row r="71" spans="2:13" x14ac:dyDescent="0.35">
      <c r="B71" s="5"/>
      <c r="C71" s="5"/>
      <c r="D71" s="5"/>
      <c r="E71" s="5"/>
      <c r="F71" s="5"/>
      <c r="G71" s="5"/>
      <c r="H71" s="5"/>
      <c r="I71" s="5"/>
      <c r="J71" s="5"/>
      <c r="K71" s="5"/>
      <c r="L71" s="28"/>
      <c r="M71" s="28"/>
    </row>
    <row r="72" spans="2:13" x14ac:dyDescent="0.35">
      <c r="B72" s="5"/>
      <c r="C72" s="5"/>
      <c r="D72" s="5"/>
      <c r="E72" s="5"/>
      <c r="F72" s="5"/>
      <c r="G72" s="5"/>
      <c r="H72" s="5"/>
      <c r="I72" s="5"/>
      <c r="J72" s="5"/>
      <c r="K72" s="5"/>
      <c r="L72" s="28"/>
      <c r="M72" s="28"/>
    </row>
    <row r="73" spans="2:13" x14ac:dyDescent="0.35">
      <c r="B73" s="5"/>
      <c r="C73" s="5"/>
      <c r="D73" s="5"/>
      <c r="E73" s="5"/>
      <c r="F73" s="5"/>
      <c r="G73" s="5"/>
      <c r="H73" s="5"/>
      <c r="I73" s="5"/>
      <c r="J73" s="5"/>
      <c r="K73" s="5"/>
      <c r="L73" s="28"/>
      <c r="M73" s="28"/>
    </row>
    <row r="74" spans="2:13" x14ac:dyDescent="0.35">
      <c r="B74" s="5"/>
      <c r="C74" s="5"/>
      <c r="D74" s="5"/>
      <c r="E74" s="5"/>
      <c r="F74" s="5"/>
      <c r="G74" s="5"/>
      <c r="H74" s="5"/>
      <c r="I74" s="5"/>
      <c r="J74" s="5"/>
      <c r="K74" s="5"/>
      <c r="L74" s="28"/>
      <c r="M74" s="28"/>
    </row>
    <row r="75" spans="2:13" x14ac:dyDescent="0.35">
      <c r="B75" s="5"/>
      <c r="C75" s="5"/>
      <c r="D75" s="5"/>
      <c r="E75" s="5"/>
      <c r="F75" s="5"/>
      <c r="G75" s="5"/>
      <c r="H75" s="5"/>
      <c r="I75" s="5"/>
      <c r="J75" s="5"/>
      <c r="K75" s="5"/>
      <c r="L75" s="28"/>
      <c r="M75" s="28"/>
    </row>
    <row r="76" spans="2:13" x14ac:dyDescent="0.35">
      <c r="B76" s="5"/>
      <c r="C76" s="5"/>
      <c r="D76" s="5"/>
      <c r="E76" s="5"/>
      <c r="F76" s="5"/>
      <c r="G76" s="5"/>
      <c r="H76" s="5"/>
      <c r="I76" s="5"/>
      <c r="J76" s="5"/>
      <c r="K76" s="5"/>
      <c r="L76" s="28"/>
      <c r="M76" s="28"/>
    </row>
    <row r="77" spans="2:13" x14ac:dyDescent="0.35">
      <c r="B77" s="5"/>
      <c r="C77" s="5"/>
      <c r="D77" s="5"/>
      <c r="E77" s="5"/>
      <c r="F77" s="5"/>
      <c r="G77" s="5"/>
      <c r="H77" s="5"/>
      <c r="I77" s="5"/>
      <c r="J77" s="5"/>
      <c r="K77" s="5"/>
      <c r="L77" s="28"/>
      <c r="M77" s="28"/>
    </row>
    <row r="78" spans="2:13" x14ac:dyDescent="0.35">
      <c r="B78" s="5"/>
      <c r="C78" s="5"/>
      <c r="D78" s="5"/>
      <c r="E78" s="5"/>
      <c r="F78" s="5"/>
      <c r="G78" s="5"/>
      <c r="H78" s="5"/>
      <c r="I78" s="5"/>
      <c r="J78" s="5"/>
      <c r="K78" s="5"/>
      <c r="L78" s="28"/>
      <c r="M78" s="28"/>
    </row>
    <row r="79" spans="2:13" x14ac:dyDescent="0.35">
      <c r="B79" s="5"/>
      <c r="C79" s="5"/>
      <c r="D79" s="5"/>
      <c r="E79" s="5"/>
      <c r="F79" s="5"/>
      <c r="G79" s="5"/>
      <c r="H79" s="5"/>
      <c r="I79" s="5"/>
      <c r="J79" s="5"/>
      <c r="K79" s="5"/>
      <c r="L79" s="28"/>
      <c r="M79" s="28"/>
    </row>
    <row r="80" spans="2:13" x14ac:dyDescent="0.35">
      <c r="B80" s="5"/>
      <c r="C80" s="5"/>
      <c r="D80" s="5"/>
      <c r="E80" s="5"/>
      <c r="F80" s="5"/>
      <c r="G80" s="5"/>
      <c r="H80" s="5"/>
      <c r="I80" s="5"/>
      <c r="J80" s="5"/>
      <c r="K80" s="5"/>
      <c r="L80" s="28"/>
      <c r="M80" s="28"/>
    </row>
    <row r="81" spans="2:13" x14ac:dyDescent="0.35">
      <c r="B81" s="5"/>
      <c r="C81" s="5"/>
      <c r="D81" s="5"/>
      <c r="E81" s="5"/>
      <c r="F81" s="5"/>
      <c r="G81" s="5"/>
      <c r="H81" s="5"/>
      <c r="I81" s="5"/>
      <c r="J81" s="5"/>
      <c r="K81" s="5"/>
      <c r="L81" s="28"/>
      <c r="M81" s="28"/>
    </row>
    <row r="82" spans="2:13" x14ac:dyDescent="0.35">
      <c r="B82" s="5"/>
      <c r="C82" s="5"/>
      <c r="D82" s="5"/>
      <c r="E82" s="5"/>
      <c r="F82" s="5"/>
      <c r="G82" s="5"/>
      <c r="H82" s="5"/>
      <c r="I82" s="5"/>
      <c r="J82" s="5"/>
      <c r="K82" s="5"/>
      <c r="L82" s="28"/>
      <c r="M82" s="28"/>
    </row>
    <row r="83" spans="2:13" x14ac:dyDescent="0.35">
      <c r="B83" s="5"/>
      <c r="C83" s="5"/>
      <c r="D83" s="5"/>
      <c r="E83" s="5"/>
      <c r="F83" s="5"/>
      <c r="G83" s="5"/>
      <c r="H83" s="5"/>
      <c r="I83" s="5"/>
      <c r="J83" s="5"/>
      <c r="K83" s="5"/>
      <c r="L83" s="28"/>
      <c r="M83" s="28"/>
    </row>
    <row r="84" spans="2:13" x14ac:dyDescent="0.35">
      <c r="B84" s="5"/>
      <c r="C84" s="5"/>
      <c r="D84" s="5"/>
      <c r="E84" s="5"/>
      <c r="F84" s="5"/>
      <c r="G84" s="5"/>
      <c r="H84" s="5"/>
      <c r="I84" s="5"/>
      <c r="J84" s="5"/>
      <c r="K84" s="5"/>
      <c r="L84" s="28"/>
      <c r="M84" s="28"/>
    </row>
    <row r="85" spans="2:13" x14ac:dyDescent="0.35">
      <c r="B85" s="5"/>
      <c r="C85" s="5"/>
      <c r="D85" s="5"/>
      <c r="E85" s="5"/>
      <c r="F85" s="5"/>
      <c r="G85" s="5"/>
      <c r="H85" s="5"/>
      <c r="I85" s="5"/>
      <c r="J85" s="5"/>
      <c r="K85" s="5"/>
      <c r="L85" s="28"/>
      <c r="M85" s="28"/>
    </row>
    <row r="86" spans="2:13" x14ac:dyDescent="0.35">
      <c r="B86" s="5"/>
      <c r="C86" s="5"/>
      <c r="D86" s="5"/>
      <c r="E86" s="5"/>
      <c r="F86" s="5"/>
      <c r="G86" s="5"/>
      <c r="H86" s="5"/>
      <c r="I86" s="5"/>
      <c r="J86" s="5"/>
      <c r="K86" s="5"/>
      <c r="L86" s="28"/>
      <c r="M86" s="28"/>
    </row>
    <row r="87" spans="2:13" x14ac:dyDescent="0.35">
      <c r="B87" s="5"/>
      <c r="C87" s="5"/>
      <c r="D87" s="5"/>
      <c r="E87" s="5"/>
      <c r="F87" s="5"/>
      <c r="G87" s="5"/>
      <c r="H87" s="5"/>
      <c r="I87" s="5"/>
      <c r="J87" s="5"/>
      <c r="K87" s="5"/>
      <c r="L87" s="28"/>
      <c r="M87" s="28"/>
    </row>
    <row r="88" spans="2:13" x14ac:dyDescent="0.35">
      <c r="B88" s="5"/>
      <c r="C88" s="5"/>
      <c r="D88" s="5"/>
      <c r="E88" s="5"/>
      <c r="F88" s="5"/>
      <c r="G88" s="5"/>
      <c r="H88" s="5"/>
      <c r="I88" s="5"/>
      <c r="J88" s="5"/>
      <c r="K88" s="5"/>
      <c r="L88" s="28"/>
      <c r="M88" s="28"/>
    </row>
    <row r="89" spans="2:13" x14ac:dyDescent="0.35">
      <c r="B89" s="5"/>
      <c r="C89" s="5"/>
      <c r="D89" s="5"/>
      <c r="E89" s="5"/>
      <c r="F89" s="5"/>
      <c r="G89" s="5"/>
      <c r="H89" s="5"/>
      <c r="I89" s="5"/>
      <c r="J89" s="5"/>
      <c r="K89" s="5"/>
      <c r="L89" s="28"/>
      <c r="M89" s="28"/>
    </row>
    <row r="90" spans="2:13" x14ac:dyDescent="0.35">
      <c r="B90" s="5"/>
      <c r="C90" s="5"/>
      <c r="D90" s="5"/>
      <c r="E90" s="5"/>
      <c r="F90" s="5"/>
      <c r="G90" s="5"/>
      <c r="H90" s="5"/>
      <c r="I90" s="5"/>
      <c r="J90" s="5"/>
      <c r="K90" s="5"/>
      <c r="L90" s="28"/>
      <c r="M90" s="28"/>
    </row>
    <row r="91" spans="2:13" x14ac:dyDescent="0.35">
      <c r="B91" s="5"/>
      <c r="C91" s="5"/>
      <c r="D91" s="5"/>
      <c r="E91" s="5"/>
      <c r="F91" s="5"/>
      <c r="G91" s="5"/>
      <c r="H91" s="5"/>
      <c r="I91" s="5"/>
      <c r="J91" s="5"/>
      <c r="K91" s="5"/>
      <c r="L91" s="28"/>
      <c r="M91" s="28"/>
    </row>
    <row r="92" spans="2:13" x14ac:dyDescent="0.35">
      <c r="B92" s="5"/>
      <c r="C92" s="5"/>
      <c r="D92" s="5"/>
      <c r="E92" s="5"/>
      <c r="F92" s="5"/>
      <c r="G92" s="5"/>
      <c r="H92" s="5"/>
      <c r="I92" s="5"/>
      <c r="J92" s="5"/>
      <c r="K92" s="5"/>
      <c r="L92" s="28"/>
      <c r="M92" s="28"/>
    </row>
    <row r="93" spans="2:13" x14ac:dyDescent="0.35">
      <c r="B93" s="5"/>
      <c r="C93" s="5"/>
      <c r="D93" s="5"/>
      <c r="E93" s="5"/>
      <c r="F93" s="5"/>
      <c r="G93" s="5"/>
      <c r="H93" s="5"/>
      <c r="I93" s="5"/>
      <c r="J93" s="5"/>
      <c r="K93" s="5"/>
      <c r="L93" s="28"/>
      <c r="M93" s="28"/>
    </row>
    <row r="94" spans="2:13" x14ac:dyDescent="0.35">
      <c r="B94" s="5"/>
      <c r="C94" s="5"/>
      <c r="D94" s="5"/>
      <c r="E94" s="5"/>
      <c r="F94" s="5"/>
      <c r="G94" s="5"/>
      <c r="H94" s="5"/>
      <c r="I94" s="5"/>
      <c r="J94" s="5"/>
      <c r="K94" s="5"/>
      <c r="L94" s="28"/>
      <c r="M94" s="28"/>
    </row>
    <row r="95" spans="2:13" x14ac:dyDescent="0.35">
      <c r="B95" s="5"/>
      <c r="C95" s="5"/>
      <c r="D95" s="5"/>
      <c r="E95" s="5"/>
      <c r="F95" s="5"/>
      <c r="G95" s="5"/>
      <c r="H95" s="5"/>
      <c r="I95" s="5"/>
      <c r="J95" s="5"/>
      <c r="K95" s="5"/>
      <c r="L95" s="28"/>
      <c r="M95" s="28"/>
    </row>
    <row r="96" spans="2:13" x14ac:dyDescent="0.35">
      <c r="B96" s="5"/>
      <c r="C96" s="5"/>
      <c r="D96" s="5"/>
      <c r="E96" s="5"/>
      <c r="F96" s="5"/>
      <c r="G96" s="5"/>
      <c r="H96" s="5"/>
      <c r="I96" s="5"/>
      <c r="J96" s="5"/>
      <c r="K96" s="5"/>
      <c r="L96" s="28"/>
      <c r="M96" s="28"/>
    </row>
    <row r="97" spans="2:13" x14ac:dyDescent="0.35">
      <c r="B97" s="5"/>
      <c r="C97" s="5"/>
      <c r="D97" s="5"/>
      <c r="E97" s="5"/>
      <c r="F97" s="5"/>
      <c r="G97" s="5"/>
      <c r="H97" s="5"/>
      <c r="I97" s="5"/>
      <c r="J97" s="5"/>
      <c r="K97" s="5"/>
      <c r="L97" s="28"/>
      <c r="M97" s="28"/>
    </row>
    <row r="98" spans="2:13" x14ac:dyDescent="0.35">
      <c r="B98" s="5"/>
      <c r="C98" s="5"/>
      <c r="D98" s="5"/>
      <c r="E98" s="5"/>
      <c r="F98" s="5"/>
      <c r="G98" s="5"/>
      <c r="H98" s="5"/>
      <c r="I98" s="5"/>
      <c r="J98" s="5"/>
      <c r="K98" s="5"/>
      <c r="L98" s="28"/>
      <c r="M98" s="28"/>
    </row>
    <row r="99" spans="2:13" x14ac:dyDescent="0.35">
      <c r="B99" s="5"/>
      <c r="C99" s="5"/>
      <c r="D99" s="5"/>
      <c r="E99" s="5"/>
      <c r="F99" s="5"/>
      <c r="G99" s="5"/>
      <c r="H99" s="5"/>
      <c r="I99" s="5"/>
      <c r="J99" s="5"/>
      <c r="K99" s="5"/>
      <c r="L99" s="28"/>
      <c r="M99" s="28"/>
    </row>
    <row r="100" spans="2:13" x14ac:dyDescent="0.3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8"/>
      <c r="M100" s="28"/>
    </row>
    <row r="101" spans="2:13" x14ac:dyDescent="0.3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8"/>
      <c r="M101" s="28"/>
    </row>
    <row r="102" spans="2:13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8"/>
      <c r="M102" s="28"/>
    </row>
    <row r="103" spans="2:13" x14ac:dyDescent="0.3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8"/>
      <c r="M103" s="28"/>
    </row>
    <row r="104" spans="2:13" x14ac:dyDescent="0.3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8"/>
      <c r="M104" s="28"/>
    </row>
    <row r="105" spans="2:13" x14ac:dyDescent="0.3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8"/>
      <c r="M105" s="28"/>
    </row>
    <row r="106" spans="2:13" x14ac:dyDescent="0.3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8"/>
      <c r="M106" s="28"/>
    </row>
    <row r="107" spans="2:13" x14ac:dyDescent="0.3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8"/>
      <c r="M107" s="28"/>
    </row>
  </sheetData>
  <mergeCells count="16">
    <mergeCell ref="B10:C10"/>
    <mergeCell ref="E10:J10"/>
    <mergeCell ref="B20:C20"/>
    <mergeCell ref="B2:K2"/>
    <mergeCell ref="B4:K4"/>
    <mergeCell ref="B31:C31"/>
    <mergeCell ref="B42:C42"/>
    <mergeCell ref="K22:K23"/>
    <mergeCell ref="K27:K28"/>
    <mergeCell ref="K33:K34"/>
    <mergeCell ref="K38:K39"/>
    <mergeCell ref="B54:C54"/>
    <mergeCell ref="K56:K57"/>
    <mergeCell ref="K61:K62"/>
    <mergeCell ref="K44:K45"/>
    <mergeCell ref="K49:K50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2763-4B9F-4302-8321-22EEFA181BA2}">
  <dimension ref="B2:L62"/>
  <sheetViews>
    <sheetView showGridLines="0" zoomScale="115" zoomScaleNormal="115" workbookViewId="0">
      <selection activeCell="L4" sqref="L4"/>
    </sheetView>
  </sheetViews>
  <sheetFormatPr baseColWidth="10" defaultRowHeight="14.5" x14ac:dyDescent="0.35"/>
  <cols>
    <col min="1" max="1" width="3.1796875" customWidth="1"/>
    <col min="2" max="8" width="9.54296875" customWidth="1"/>
    <col min="9" max="9" width="9.54296875" style="1" customWidth="1"/>
    <col min="10" max="12" width="9.54296875" customWidth="1"/>
  </cols>
  <sheetData>
    <row r="2" spans="2:12" ht="21" x14ac:dyDescent="0.5">
      <c r="B2" s="88" t="s">
        <v>11</v>
      </c>
      <c r="C2" s="88"/>
      <c r="D2" s="88"/>
      <c r="E2" s="88"/>
      <c r="F2" s="88"/>
      <c r="G2" s="88"/>
      <c r="H2" s="88"/>
      <c r="I2" s="88"/>
      <c r="J2" s="88"/>
    </row>
    <row r="4" spans="2:12" ht="91.5" customHeight="1" x14ac:dyDescent="0.35">
      <c r="B4" s="89" t="s">
        <v>34</v>
      </c>
      <c r="C4" s="89"/>
      <c r="D4" s="89"/>
      <c r="E4" s="89"/>
      <c r="F4" s="89"/>
      <c r="G4" s="89"/>
      <c r="H4" s="89"/>
      <c r="I4" s="89"/>
      <c r="J4" s="89"/>
    </row>
    <row r="6" spans="2:12" x14ac:dyDescent="0.35">
      <c r="B6" s="16" t="s">
        <v>0</v>
      </c>
      <c r="I6"/>
      <c r="K6" s="1"/>
      <c r="L6" s="1"/>
    </row>
    <row r="7" spans="2:12" x14ac:dyDescent="0.35">
      <c r="B7" s="6" t="s">
        <v>12</v>
      </c>
      <c r="C7" s="7" t="s">
        <v>35</v>
      </c>
      <c r="D7" s="4"/>
      <c r="I7"/>
      <c r="K7" s="1"/>
      <c r="L7" s="1"/>
    </row>
    <row r="8" spans="2:12" x14ac:dyDescent="0.35">
      <c r="B8" s="6" t="s">
        <v>13</v>
      </c>
      <c r="C8" s="7" t="s">
        <v>36</v>
      </c>
      <c r="D8" s="4"/>
      <c r="I8"/>
      <c r="K8" s="1"/>
      <c r="L8" s="1"/>
    </row>
    <row r="9" spans="2:12" x14ac:dyDescent="0.35">
      <c r="I9"/>
      <c r="K9" s="1"/>
      <c r="L9" s="1"/>
    </row>
    <row r="10" spans="2:12" x14ac:dyDescent="0.35">
      <c r="B10" s="83" t="s">
        <v>1</v>
      </c>
      <c r="C10" s="83"/>
      <c r="E10" s="91" t="s">
        <v>16</v>
      </c>
      <c r="F10" s="92"/>
      <c r="G10" s="92"/>
      <c r="H10" s="92"/>
      <c r="I10" s="93"/>
      <c r="K10" s="1"/>
      <c r="L10" s="1"/>
    </row>
    <row r="11" spans="2:12" x14ac:dyDescent="0.35">
      <c r="E11" s="18"/>
      <c r="F11" s="3"/>
      <c r="G11" s="3"/>
      <c r="H11" s="3"/>
      <c r="I11" s="19"/>
      <c r="K11" s="1"/>
      <c r="L11" s="1"/>
    </row>
    <row r="12" spans="2:12" ht="16.5" x14ac:dyDescent="0.45">
      <c r="E12" s="18" t="s">
        <v>41</v>
      </c>
      <c r="F12" s="3"/>
      <c r="G12" s="3"/>
      <c r="H12" s="3"/>
      <c r="I12" s="19"/>
      <c r="K12" s="1"/>
      <c r="L12" s="1"/>
    </row>
    <row r="13" spans="2:12" ht="16.5" x14ac:dyDescent="0.45">
      <c r="B13" t="s">
        <v>37</v>
      </c>
      <c r="E13" s="18" t="s">
        <v>49</v>
      </c>
      <c r="F13" s="3"/>
      <c r="G13" s="3"/>
      <c r="H13" s="3"/>
      <c r="I13" s="19"/>
      <c r="K13" s="1"/>
      <c r="L13" s="1"/>
    </row>
    <row r="14" spans="2:12" x14ac:dyDescent="0.35">
      <c r="B14" t="s">
        <v>14</v>
      </c>
      <c r="E14" s="18" t="s">
        <v>14</v>
      </c>
      <c r="F14" s="3"/>
      <c r="G14" s="3"/>
      <c r="H14" s="3"/>
      <c r="I14" s="19"/>
      <c r="K14" s="1"/>
      <c r="L14" s="1"/>
    </row>
    <row r="15" spans="2:12" ht="16.5" x14ac:dyDescent="0.45">
      <c r="C15" t="s">
        <v>38</v>
      </c>
      <c r="E15" s="18"/>
      <c r="F15" s="3" t="s">
        <v>42</v>
      </c>
      <c r="G15" s="3"/>
      <c r="H15" s="3"/>
      <c r="I15" s="19"/>
      <c r="J15" s="12" t="s">
        <v>46</v>
      </c>
      <c r="K15" s="1"/>
      <c r="L15" s="1"/>
    </row>
    <row r="16" spans="2:12" ht="16.5" x14ac:dyDescent="0.45">
      <c r="C16" t="s">
        <v>39</v>
      </c>
      <c r="E16" s="18"/>
      <c r="F16" s="3" t="s">
        <v>43</v>
      </c>
      <c r="G16" s="3"/>
      <c r="H16" s="3"/>
      <c r="I16" s="19"/>
      <c r="J16" s="17" t="s">
        <v>47</v>
      </c>
      <c r="K16" s="1"/>
      <c r="L16" s="1"/>
    </row>
    <row r="17" spans="2:12" ht="16.5" x14ac:dyDescent="0.45">
      <c r="C17" t="s">
        <v>40</v>
      </c>
      <c r="E17" s="18"/>
      <c r="F17" s="3" t="s">
        <v>44</v>
      </c>
      <c r="G17" s="3"/>
      <c r="H17" s="3"/>
      <c r="I17" s="19"/>
      <c r="J17" s="17" t="s">
        <v>48</v>
      </c>
      <c r="K17" s="1"/>
      <c r="L17" s="1"/>
    </row>
    <row r="18" spans="2:12" ht="16.5" x14ac:dyDescent="0.45">
      <c r="C18" t="s">
        <v>15</v>
      </c>
      <c r="E18" s="22"/>
      <c r="F18" s="20" t="s">
        <v>45</v>
      </c>
      <c r="G18" s="20"/>
      <c r="H18" s="20"/>
      <c r="I18" s="21"/>
      <c r="K18" s="1"/>
      <c r="L18" s="1"/>
    </row>
    <row r="19" spans="2:12" x14ac:dyDescent="0.35">
      <c r="E19" s="23"/>
      <c r="F19" s="23"/>
      <c r="G19" s="23"/>
      <c r="H19" s="23"/>
      <c r="I19" s="23"/>
      <c r="K19" s="1"/>
      <c r="L19" s="1"/>
    </row>
    <row r="20" spans="2:12" x14ac:dyDescent="0.35">
      <c r="B20" s="87" t="s">
        <v>2</v>
      </c>
      <c r="C20" s="87"/>
      <c r="I20"/>
      <c r="J20" s="1"/>
      <c r="K20" s="1"/>
    </row>
    <row r="21" spans="2:12" ht="15" thickBot="1" x14ac:dyDescent="0.4">
      <c r="I21"/>
      <c r="J21" s="1"/>
      <c r="K21" s="1"/>
    </row>
    <row r="22" spans="2:12" x14ac:dyDescent="0.35">
      <c r="B22" s="26" t="s">
        <v>3</v>
      </c>
      <c r="C22" s="27"/>
      <c r="D22" s="25"/>
      <c r="E22" s="25"/>
      <c r="F22" s="25"/>
      <c r="G22" s="25"/>
      <c r="H22" s="25"/>
      <c r="I22" s="25"/>
      <c r="J22" s="25"/>
      <c r="K22" s="25"/>
      <c r="L22" s="77" t="s">
        <v>5</v>
      </c>
    </row>
    <row r="23" spans="2:12" x14ac:dyDescent="0.35">
      <c r="B23" s="29"/>
      <c r="C23" s="30" t="s">
        <v>4</v>
      </c>
      <c r="D23" s="31"/>
      <c r="E23" s="31"/>
      <c r="F23" s="31"/>
      <c r="G23" s="31"/>
      <c r="H23" s="31"/>
      <c r="I23" s="31"/>
      <c r="J23" s="31"/>
      <c r="K23" s="31"/>
      <c r="L23" s="78"/>
    </row>
    <row r="24" spans="2:12" x14ac:dyDescent="0.35">
      <c r="B24" s="33"/>
      <c r="C24" s="34"/>
      <c r="D24" s="43"/>
      <c r="E24" s="43"/>
      <c r="F24" s="43"/>
      <c r="G24" s="43"/>
      <c r="H24" s="43"/>
      <c r="I24" s="43"/>
      <c r="J24" s="43"/>
      <c r="K24" s="43"/>
      <c r="L24" s="44"/>
    </row>
    <row r="25" spans="2:12" x14ac:dyDescent="0.35">
      <c r="B25" s="33"/>
      <c r="C25" s="34"/>
      <c r="D25" s="43"/>
      <c r="E25" s="43"/>
      <c r="F25" s="43"/>
      <c r="G25" s="43"/>
      <c r="H25" s="43"/>
      <c r="I25" s="43"/>
      <c r="J25" s="43"/>
      <c r="K25" s="43"/>
      <c r="L25" s="44"/>
    </row>
    <row r="26" spans="2:12" x14ac:dyDescent="0.35">
      <c r="B26" s="29"/>
      <c r="C26" s="30"/>
      <c r="D26" s="45"/>
      <c r="E26" s="45"/>
      <c r="F26" s="45"/>
      <c r="G26" s="45"/>
      <c r="H26" s="45"/>
      <c r="I26" s="45"/>
      <c r="J26" s="45"/>
      <c r="K26" s="45"/>
      <c r="L26" s="44"/>
    </row>
    <row r="27" spans="2:12" x14ac:dyDescent="0.35">
      <c r="B27" s="33"/>
      <c r="C27" s="34" t="s">
        <v>6</v>
      </c>
      <c r="D27" s="35"/>
      <c r="E27" s="35"/>
      <c r="F27" s="35"/>
      <c r="G27" s="35"/>
      <c r="H27" s="35"/>
      <c r="I27" s="35"/>
      <c r="J27" s="35"/>
      <c r="K27" s="35"/>
      <c r="L27" s="81"/>
    </row>
    <row r="28" spans="2:12" ht="15" thickBot="1" x14ac:dyDescent="0.4">
      <c r="B28" s="36"/>
      <c r="C28" s="37" t="s">
        <v>7</v>
      </c>
      <c r="D28" s="38"/>
      <c r="E28" s="38"/>
      <c r="F28" s="38"/>
      <c r="G28" s="38"/>
      <c r="H28" s="38"/>
      <c r="I28" s="38"/>
      <c r="J28" s="38"/>
      <c r="K28" s="38"/>
      <c r="L28" s="82"/>
    </row>
    <row r="29" spans="2:12" x14ac:dyDescent="0.35">
      <c r="E29" s="13"/>
      <c r="F29" s="13"/>
      <c r="G29" s="10"/>
      <c r="H29" s="10"/>
    </row>
    <row r="31" spans="2:12" x14ac:dyDescent="0.35">
      <c r="B31" s="87" t="s">
        <v>9</v>
      </c>
      <c r="C31" s="87"/>
      <c r="I31"/>
      <c r="J31" s="1"/>
      <c r="K31" s="1"/>
    </row>
    <row r="32" spans="2:12" ht="15" thickBot="1" x14ac:dyDescent="0.4">
      <c r="I32"/>
      <c r="J32" s="1"/>
      <c r="K32" s="1"/>
    </row>
    <row r="33" spans="2:12" x14ac:dyDescent="0.35">
      <c r="B33" s="26" t="s">
        <v>3</v>
      </c>
      <c r="C33" s="27"/>
      <c r="D33" s="25"/>
      <c r="E33" s="25"/>
      <c r="F33" s="25"/>
      <c r="G33" s="25"/>
      <c r="H33" s="25"/>
      <c r="I33" s="25"/>
      <c r="J33" s="25"/>
      <c r="K33" s="25"/>
      <c r="L33" s="77" t="s">
        <v>5</v>
      </c>
    </row>
    <row r="34" spans="2:12" x14ac:dyDescent="0.35">
      <c r="B34" s="29"/>
      <c r="C34" s="30" t="s">
        <v>4</v>
      </c>
      <c r="D34" s="31"/>
      <c r="E34" s="31"/>
      <c r="F34" s="31"/>
      <c r="G34" s="31"/>
      <c r="H34" s="31"/>
      <c r="I34" s="31"/>
      <c r="J34" s="31"/>
      <c r="K34" s="31"/>
      <c r="L34" s="78"/>
    </row>
    <row r="35" spans="2:12" x14ac:dyDescent="0.35">
      <c r="B35" s="33"/>
      <c r="C35" s="34"/>
      <c r="D35" s="43"/>
      <c r="E35" s="43"/>
      <c r="F35" s="43"/>
      <c r="G35" s="43"/>
      <c r="H35" s="43"/>
      <c r="I35" s="43"/>
      <c r="J35" s="43"/>
      <c r="K35" s="43"/>
      <c r="L35" s="44"/>
    </row>
    <row r="36" spans="2:12" x14ac:dyDescent="0.35">
      <c r="B36" s="33"/>
      <c r="C36" s="34"/>
      <c r="D36" s="43"/>
      <c r="E36" s="43"/>
      <c r="F36" s="43"/>
      <c r="G36" s="43"/>
      <c r="H36" s="43"/>
      <c r="I36" s="43"/>
      <c r="J36" s="43"/>
      <c r="K36" s="43"/>
      <c r="L36" s="44"/>
    </row>
    <row r="37" spans="2:12" x14ac:dyDescent="0.35">
      <c r="B37" s="29"/>
      <c r="C37" s="30"/>
      <c r="D37" s="45"/>
      <c r="E37" s="45"/>
      <c r="F37" s="45"/>
      <c r="G37" s="45"/>
      <c r="H37" s="45"/>
      <c r="I37" s="45"/>
      <c r="J37" s="45"/>
      <c r="K37" s="45"/>
      <c r="L37" s="44"/>
    </row>
    <row r="38" spans="2:12" x14ac:dyDescent="0.35">
      <c r="B38" s="33"/>
      <c r="C38" s="34" t="s">
        <v>6</v>
      </c>
      <c r="D38" s="35"/>
      <c r="E38" s="35"/>
      <c r="F38" s="35"/>
      <c r="G38" s="35"/>
      <c r="H38" s="35"/>
      <c r="I38" s="35"/>
      <c r="J38" s="35"/>
      <c r="K38" s="35"/>
      <c r="L38" s="81"/>
    </row>
    <row r="39" spans="2:12" ht="15" thickBot="1" x14ac:dyDescent="0.4">
      <c r="B39" s="36"/>
      <c r="C39" s="37" t="s">
        <v>7</v>
      </c>
      <c r="D39" s="38"/>
      <c r="E39" s="38"/>
      <c r="F39" s="38"/>
      <c r="G39" s="38"/>
      <c r="H39" s="38"/>
      <c r="I39" s="38"/>
      <c r="J39" s="38"/>
      <c r="K39" s="38"/>
      <c r="L39" s="82"/>
    </row>
    <row r="40" spans="2:12" x14ac:dyDescent="0.35">
      <c r="B40" s="13"/>
      <c r="C40" s="13"/>
      <c r="D40" s="10"/>
      <c r="E40" s="24"/>
      <c r="F40" s="24"/>
      <c r="G40" s="24"/>
      <c r="H40" s="14"/>
      <c r="I40" s="10"/>
      <c r="J40" s="13"/>
    </row>
    <row r="42" spans="2:12" x14ac:dyDescent="0.35">
      <c r="B42" s="87" t="s">
        <v>10</v>
      </c>
      <c r="C42" s="87"/>
      <c r="I42"/>
      <c r="J42" s="1"/>
      <c r="K42" s="1"/>
    </row>
    <row r="43" spans="2:12" ht="15" thickBot="1" x14ac:dyDescent="0.4">
      <c r="I43"/>
      <c r="J43" s="1"/>
      <c r="K43" s="1"/>
    </row>
    <row r="44" spans="2:12" x14ac:dyDescent="0.35">
      <c r="B44" s="26" t="s">
        <v>3</v>
      </c>
      <c r="C44" s="27"/>
      <c r="D44" s="25"/>
      <c r="E44" s="25"/>
      <c r="F44" s="25"/>
      <c r="G44" s="25"/>
      <c r="H44" s="25"/>
      <c r="I44" s="25"/>
      <c r="J44" s="25"/>
      <c r="K44" s="25"/>
      <c r="L44" s="77" t="s">
        <v>5</v>
      </c>
    </row>
    <row r="45" spans="2:12" x14ac:dyDescent="0.35">
      <c r="B45" s="29"/>
      <c r="C45" s="30" t="s">
        <v>4</v>
      </c>
      <c r="D45" s="31"/>
      <c r="E45" s="31"/>
      <c r="F45" s="31"/>
      <c r="G45" s="31"/>
      <c r="H45" s="31"/>
      <c r="I45" s="31"/>
      <c r="J45" s="31"/>
      <c r="K45" s="31"/>
      <c r="L45" s="78"/>
    </row>
    <row r="46" spans="2:12" x14ac:dyDescent="0.35">
      <c r="B46" s="33"/>
      <c r="C46" s="34"/>
      <c r="D46" s="43"/>
      <c r="E46" s="43"/>
      <c r="F46" s="43"/>
      <c r="G46" s="43"/>
      <c r="H46" s="43"/>
      <c r="I46" s="43"/>
      <c r="J46" s="43"/>
      <c r="K46" s="43"/>
      <c r="L46" s="44"/>
    </row>
    <row r="47" spans="2:12" x14ac:dyDescent="0.35">
      <c r="B47" s="33"/>
      <c r="C47" s="34"/>
      <c r="D47" s="43"/>
      <c r="E47" s="43"/>
      <c r="F47" s="43"/>
      <c r="G47" s="43"/>
      <c r="H47" s="43"/>
      <c r="I47" s="43"/>
      <c r="J47" s="43"/>
      <c r="K47" s="43"/>
      <c r="L47" s="44"/>
    </row>
    <row r="48" spans="2:12" x14ac:dyDescent="0.35">
      <c r="B48" s="29"/>
      <c r="C48" s="30"/>
      <c r="D48" s="45"/>
      <c r="E48" s="45"/>
      <c r="F48" s="45"/>
      <c r="G48" s="45"/>
      <c r="H48" s="45"/>
      <c r="I48" s="45"/>
      <c r="J48" s="45"/>
      <c r="K48" s="45"/>
      <c r="L48" s="44"/>
    </row>
    <row r="49" spans="2:12" x14ac:dyDescent="0.35">
      <c r="B49" s="33"/>
      <c r="C49" s="34" t="s">
        <v>6</v>
      </c>
      <c r="D49" s="35"/>
      <c r="E49" s="35"/>
      <c r="F49" s="35"/>
      <c r="G49" s="35"/>
      <c r="H49" s="35"/>
      <c r="I49" s="35"/>
      <c r="J49" s="35"/>
      <c r="K49" s="35"/>
      <c r="L49" s="81"/>
    </row>
    <row r="50" spans="2:12" ht="15" thickBot="1" x14ac:dyDescent="0.4">
      <c r="B50" s="36"/>
      <c r="C50" s="37" t="s">
        <v>7</v>
      </c>
      <c r="D50" s="38"/>
      <c r="E50" s="38"/>
      <c r="F50" s="38"/>
      <c r="G50" s="38"/>
      <c r="H50" s="38"/>
      <c r="I50" s="38"/>
      <c r="J50" s="38"/>
      <c r="K50" s="38"/>
      <c r="L50" s="82"/>
    </row>
    <row r="51" spans="2:12" x14ac:dyDescent="0.35">
      <c r="B51" s="13"/>
      <c r="C51" s="13"/>
      <c r="D51" s="15"/>
      <c r="E51" s="15"/>
      <c r="F51" s="13"/>
      <c r="G51" s="13"/>
      <c r="H51" s="13"/>
      <c r="I51" s="10"/>
    </row>
    <row r="52" spans="2:12" x14ac:dyDescent="0.35">
      <c r="B52" s="13"/>
      <c r="C52" s="13"/>
      <c r="D52" s="13"/>
      <c r="E52" s="13"/>
      <c r="F52" s="13"/>
      <c r="G52" s="13"/>
      <c r="H52" s="13"/>
      <c r="I52" s="10"/>
    </row>
    <row r="53" spans="2:12" x14ac:dyDescent="0.35">
      <c r="C53" s="2"/>
      <c r="D53" s="23"/>
      <c r="E53" s="23"/>
      <c r="F53" s="23"/>
      <c r="G53" s="23"/>
      <c r="H53" s="2"/>
      <c r="I53" s="2"/>
    </row>
    <row r="54" spans="2:12" x14ac:dyDescent="0.35">
      <c r="B54" s="87" t="s">
        <v>33</v>
      </c>
      <c r="C54" s="87"/>
      <c r="I54"/>
      <c r="J54" s="1"/>
      <c r="K54" s="1"/>
    </row>
    <row r="55" spans="2:12" ht="15" thickBot="1" x14ac:dyDescent="0.4">
      <c r="I55"/>
      <c r="J55" s="1"/>
      <c r="K55" s="1"/>
    </row>
    <row r="56" spans="2:12" x14ac:dyDescent="0.35">
      <c r="B56" s="26" t="s">
        <v>3</v>
      </c>
      <c r="C56" s="27"/>
      <c r="D56" s="25"/>
      <c r="E56" s="25"/>
      <c r="F56" s="25"/>
      <c r="G56" s="25"/>
      <c r="H56" s="25"/>
      <c r="I56" s="25"/>
      <c r="J56" s="25"/>
      <c r="K56" s="25"/>
      <c r="L56" s="77" t="s">
        <v>5</v>
      </c>
    </row>
    <row r="57" spans="2:12" x14ac:dyDescent="0.35">
      <c r="B57" s="29"/>
      <c r="C57" s="30" t="s">
        <v>4</v>
      </c>
      <c r="D57" s="31"/>
      <c r="E57" s="31"/>
      <c r="F57" s="31"/>
      <c r="G57" s="31"/>
      <c r="H57" s="31"/>
      <c r="I57" s="31"/>
      <c r="J57" s="31"/>
      <c r="K57" s="31"/>
      <c r="L57" s="78"/>
    </row>
    <row r="58" spans="2:12" x14ac:dyDescent="0.35">
      <c r="B58" s="33"/>
      <c r="C58" s="34"/>
      <c r="D58" s="43"/>
      <c r="E58" s="43"/>
      <c r="F58" s="43"/>
      <c r="G58" s="43"/>
      <c r="H58" s="43"/>
      <c r="I58" s="43"/>
      <c r="J58" s="43"/>
      <c r="K58" s="43"/>
      <c r="L58" s="44"/>
    </row>
    <row r="59" spans="2:12" x14ac:dyDescent="0.35">
      <c r="B59" s="33"/>
      <c r="C59" s="34"/>
      <c r="D59" s="43"/>
      <c r="E59" s="43"/>
      <c r="F59" s="43"/>
      <c r="G59" s="43"/>
      <c r="H59" s="43"/>
      <c r="I59" s="43"/>
      <c r="J59" s="43"/>
      <c r="K59" s="43"/>
      <c r="L59" s="44"/>
    </row>
    <row r="60" spans="2:12" x14ac:dyDescent="0.35">
      <c r="B60" s="29"/>
      <c r="C60" s="30"/>
      <c r="D60" s="45"/>
      <c r="E60" s="45"/>
      <c r="F60" s="45"/>
      <c r="G60" s="45"/>
      <c r="H60" s="45"/>
      <c r="I60" s="45"/>
      <c r="J60" s="45"/>
      <c r="K60" s="45"/>
      <c r="L60" s="44"/>
    </row>
    <row r="61" spans="2:12" x14ac:dyDescent="0.35">
      <c r="B61" s="33"/>
      <c r="C61" s="34" t="s">
        <v>6</v>
      </c>
      <c r="D61" s="35"/>
      <c r="E61" s="35"/>
      <c r="F61" s="35"/>
      <c r="G61" s="35"/>
      <c r="H61" s="35"/>
      <c r="I61" s="35"/>
      <c r="J61" s="35"/>
      <c r="K61" s="35"/>
      <c r="L61" s="81"/>
    </row>
    <row r="62" spans="2:12" ht="15" thickBot="1" x14ac:dyDescent="0.4">
      <c r="B62" s="36"/>
      <c r="C62" s="37" t="s">
        <v>7</v>
      </c>
      <c r="D62" s="38"/>
      <c r="E62" s="38"/>
      <c r="F62" s="38"/>
      <c r="G62" s="38"/>
      <c r="H62" s="38"/>
      <c r="I62" s="38"/>
      <c r="J62" s="38"/>
      <c r="K62" s="38"/>
      <c r="L62" s="82"/>
    </row>
  </sheetData>
  <mergeCells count="16">
    <mergeCell ref="B20:C20"/>
    <mergeCell ref="B31:C31"/>
    <mergeCell ref="B42:C42"/>
    <mergeCell ref="B10:C10"/>
    <mergeCell ref="B2:J2"/>
    <mergeCell ref="B4:J4"/>
    <mergeCell ref="E10:I10"/>
    <mergeCell ref="L49:L50"/>
    <mergeCell ref="B54:C54"/>
    <mergeCell ref="L56:L57"/>
    <mergeCell ref="L61:L62"/>
    <mergeCell ref="L22:L23"/>
    <mergeCell ref="L27:L28"/>
    <mergeCell ref="L33:L34"/>
    <mergeCell ref="L38:L39"/>
    <mergeCell ref="L44:L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01</vt:lpstr>
      <vt:lpstr>EJEMPLO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Nakasone Vega, Christian</dc:creator>
  <cp:lastModifiedBy>Nakasone Vega, Christian</cp:lastModifiedBy>
  <dcterms:created xsi:type="dcterms:W3CDTF">2015-10-14T21:21:02Z</dcterms:created>
  <dcterms:modified xsi:type="dcterms:W3CDTF">2021-04-21T15:38:26Z</dcterms:modified>
</cp:coreProperties>
</file>